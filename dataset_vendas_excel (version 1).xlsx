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senacspedu-my.sharepoint.com/personal/gabriel_lsantos67_senacsp_edu_br1/Documents/PORTFÓLIO-BD/excel/"/>
    </mc:Choice>
  </mc:AlternateContent>
  <xr:revisionPtr revIDLastSave="243" documentId="8_{CAB49EB1-BADC-4B14-8312-BC25927CA0FC}" xr6:coauthVersionLast="47" xr6:coauthVersionMax="47" xr10:uidLastSave="{DA8E8FE2-6606-4269-9493-B727C1147705}"/>
  <bookViews>
    <workbookView xWindow="-108" yWindow="-108" windowWidth="23256" windowHeight="12456" activeTab="2" xr2:uid="{00000000-000D-0000-FFFF-FFFF00000000}"/>
  </bookViews>
  <sheets>
    <sheet name="Sheet1" sheetId="1" r:id="rId1"/>
    <sheet name="Dinâmica1" sheetId="12" r:id="rId2"/>
    <sheet name="Dashboard" sheetId="11" r:id="rId3"/>
  </sheets>
  <definedNames>
    <definedName name="SegmentaçãodeDados_Categoria3">#N/A</definedName>
    <definedName name="SegmentaçãodeDados_Mês3">#N/A</definedName>
    <definedName name="SegmentaçãodeDados_Região3">#N/A</definedName>
    <definedName name="SegmentaçãodeDados_Vendedor3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2" l="1"/>
  <c r="B12" i="12"/>
  <c r="B8" i="12"/>
  <c r="B3" i="12"/>
  <c r="O18" i="1"/>
  <c r="O15" i="1"/>
  <c r="P12" i="1"/>
  <c r="P11" i="1"/>
  <c r="P10" i="1"/>
  <c r="P9" i="1"/>
  <c r="P8" i="1"/>
  <c r="P6" i="1"/>
  <c r="P5" i="1"/>
  <c r="P4" i="1"/>
  <c r="P3" i="1"/>
  <c r="P2" i="1"/>
  <c r="M89" i="1"/>
  <c r="M165" i="1"/>
  <c r="M255" i="1"/>
  <c r="M198" i="1"/>
  <c r="M104" i="1"/>
  <c r="M264" i="1"/>
  <c r="M202" i="1"/>
  <c r="M46" i="1"/>
  <c r="M211" i="1"/>
  <c r="M167" i="1"/>
  <c r="M285" i="1"/>
  <c r="M66" i="1"/>
  <c r="M24" i="1"/>
  <c r="M166" i="1"/>
  <c r="M175" i="1"/>
  <c r="M296" i="1"/>
  <c r="M40" i="1"/>
  <c r="M27" i="1"/>
  <c r="M37" i="1"/>
  <c r="M288" i="1"/>
  <c r="M180" i="1"/>
  <c r="M120" i="1"/>
  <c r="M208" i="1"/>
  <c r="M95" i="1"/>
  <c r="M100" i="1"/>
  <c r="M154" i="1"/>
  <c r="M184" i="1"/>
  <c r="M195" i="1"/>
  <c r="M153" i="1"/>
  <c r="M101" i="1"/>
  <c r="M242" i="1"/>
  <c r="M250" i="1"/>
  <c r="M248" i="1"/>
  <c r="M90" i="1"/>
  <c r="M279" i="1"/>
  <c r="M216" i="1"/>
  <c r="M19" i="1"/>
  <c r="M265" i="1"/>
  <c r="M125" i="1"/>
  <c r="M246" i="1"/>
  <c r="M130" i="1"/>
  <c r="M220" i="1"/>
  <c r="M244" i="1"/>
  <c r="M263" i="1"/>
  <c r="M114" i="1"/>
  <c r="M282" i="1"/>
  <c r="M142" i="1"/>
  <c r="M92" i="1"/>
  <c r="M253" i="1"/>
  <c r="M78" i="1"/>
  <c r="M102" i="1"/>
  <c r="M73" i="1"/>
  <c r="M290" i="1"/>
  <c r="M169" i="1"/>
  <c r="M281" i="1"/>
  <c r="M85" i="1"/>
  <c r="M272" i="1"/>
  <c r="M280" i="1"/>
  <c r="M87" i="1"/>
  <c r="M224" i="1"/>
  <c r="M76" i="1"/>
  <c r="M261" i="1"/>
  <c r="M192" i="1"/>
  <c r="M83" i="1"/>
  <c r="M172" i="1"/>
  <c r="M299" i="1"/>
  <c r="M139" i="1"/>
  <c r="M223" i="1"/>
  <c r="M42" i="1"/>
  <c r="M132" i="1"/>
  <c r="M197" i="1"/>
  <c r="M26" i="1"/>
  <c r="M273" i="1"/>
  <c r="M300" i="1"/>
  <c r="M112" i="1"/>
  <c r="M298" i="1"/>
  <c r="M259" i="1"/>
  <c r="M194" i="1"/>
  <c r="M179" i="1"/>
  <c r="M11" i="1"/>
  <c r="M75" i="1"/>
  <c r="M115" i="1"/>
  <c r="M38" i="1"/>
  <c r="M8" i="1"/>
  <c r="M50" i="1"/>
  <c r="M262" i="1"/>
  <c r="M258" i="1"/>
  <c r="M45" i="1"/>
  <c r="M3" i="1"/>
  <c r="M227" i="1"/>
  <c r="M252" i="1"/>
  <c r="M94" i="1"/>
  <c r="M174" i="1"/>
  <c r="M135" i="1"/>
  <c r="M111" i="1"/>
  <c r="M44" i="1"/>
  <c r="M277" i="1"/>
  <c r="M123" i="1"/>
  <c r="M77" i="1"/>
  <c r="M286" i="1"/>
  <c r="M164" i="1"/>
  <c r="M196" i="1"/>
  <c r="M122" i="1"/>
  <c r="M213" i="1"/>
  <c r="M33" i="1"/>
  <c r="M52" i="1"/>
  <c r="M29" i="1"/>
  <c r="M269" i="1"/>
  <c r="M118" i="1"/>
  <c r="M186" i="1"/>
  <c r="M105" i="1"/>
  <c r="M136" i="1"/>
  <c r="M17" i="1"/>
  <c r="M294" i="1"/>
  <c r="M199" i="1"/>
  <c r="M86" i="1"/>
  <c r="M81" i="1"/>
  <c r="M110" i="1"/>
  <c r="M47" i="1"/>
  <c r="M163" i="1"/>
  <c r="M241" i="1"/>
  <c r="M116" i="1"/>
  <c r="M152" i="1"/>
  <c r="M177" i="1"/>
  <c r="M229" i="1"/>
  <c r="M239" i="1"/>
  <c r="M109" i="1"/>
  <c r="M233" i="1"/>
  <c r="M297" i="1"/>
  <c r="M93" i="1"/>
  <c r="M236" i="1"/>
  <c r="M240" i="1"/>
  <c r="M145" i="1"/>
  <c r="M256" i="1"/>
  <c r="M48" i="1"/>
  <c r="M287" i="1"/>
  <c r="M143" i="1"/>
  <c r="M39" i="1"/>
  <c r="M49" i="1"/>
  <c r="M266" i="1"/>
  <c r="M138" i="1"/>
  <c r="M267" i="1"/>
  <c r="M131" i="1"/>
  <c r="M260" i="1"/>
  <c r="M51" i="1"/>
  <c r="M61" i="1"/>
  <c r="M257" i="1"/>
  <c r="M30" i="1"/>
  <c r="M9" i="1"/>
  <c r="M234" i="1"/>
  <c r="M218" i="1"/>
  <c r="M97" i="1"/>
  <c r="M182" i="1"/>
  <c r="M117" i="1"/>
  <c r="M121" i="1"/>
  <c r="M106" i="1"/>
  <c r="M148" i="1"/>
  <c r="M232" i="1"/>
  <c r="M133" i="1"/>
  <c r="M190" i="1"/>
  <c r="M187" i="1"/>
  <c r="M56" i="1"/>
  <c r="M22" i="1"/>
  <c r="M88" i="1"/>
  <c r="M16" i="1"/>
  <c r="M65" i="1"/>
  <c r="M301" i="1"/>
  <c r="M210" i="1"/>
  <c r="M67" i="1"/>
  <c r="M91" i="1"/>
  <c r="M146" i="1"/>
  <c r="M15" i="1"/>
  <c r="M193" i="1"/>
  <c r="M25" i="1"/>
  <c r="M204" i="1"/>
  <c r="M113" i="1"/>
  <c r="M57" i="1"/>
  <c r="M151" i="1"/>
  <c r="M55" i="1"/>
  <c r="M173" i="1"/>
  <c r="M6" i="1"/>
  <c r="M141" i="1"/>
  <c r="M72" i="1"/>
  <c r="M99" i="1"/>
  <c r="M7" i="1"/>
  <c r="M275" i="1"/>
  <c r="M222" i="1"/>
  <c r="M289" i="1"/>
  <c r="M183" i="1"/>
  <c r="M209" i="1"/>
  <c r="M147" i="1"/>
  <c r="M127" i="1"/>
  <c r="M12" i="1"/>
  <c r="M293" i="1"/>
  <c r="M181" i="1"/>
  <c r="M291" i="1"/>
  <c r="M149" i="1"/>
  <c r="M156" i="1"/>
  <c r="M28" i="1"/>
  <c r="M225" i="1"/>
  <c r="M124" i="1"/>
  <c r="M278" i="1"/>
  <c r="M70" i="1"/>
  <c r="M14" i="1"/>
  <c r="M212" i="1"/>
  <c r="M62" i="1"/>
  <c r="M144" i="1"/>
  <c r="M157" i="1"/>
  <c r="M268" i="1"/>
  <c r="M161" i="1"/>
  <c r="M228" i="1"/>
  <c r="M59" i="1"/>
  <c r="M292" i="1"/>
  <c r="M98" i="1"/>
  <c r="M251" i="1"/>
  <c r="M171" i="1"/>
  <c r="M69" i="1"/>
  <c r="M4" i="1"/>
  <c r="M21" i="1"/>
  <c r="M170" i="1"/>
  <c r="M32" i="1"/>
  <c r="M159" i="1"/>
  <c r="M237" i="1"/>
  <c r="M82" i="1"/>
  <c r="M276" i="1"/>
  <c r="M207" i="1"/>
  <c r="M221" i="1"/>
  <c r="M35" i="1"/>
  <c r="M284" i="1"/>
  <c r="M134" i="1"/>
  <c r="M80" i="1"/>
  <c r="M2" i="1"/>
  <c r="M155" i="1"/>
  <c r="M160" i="1"/>
  <c r="M238" i="1"/>
  <c r="M188" i="1"/>
  <c r="M214" i="1"/>
  <c r="M34" i="1"/>
  <c r="M245" i="1"/>
  <c r="M203" i="1"/>
  <c r="M96" i="1"/>
  <c r="M274" i="1"/>
  <c r="M43" i="1"/>
  <c r="M58" i="1"/>
  <c r="M270" i="1"/>
  <c r="M217" i="1"/>
  <c r="M74" i="1"/>
  <c r="M79" i="1"/>
  <c r="M206" i="1"/>
  <c r="M249" i="1"/>
  <c r="M235" i="1"/>
  <c r="M18" i="1"/>
  <c r="M271" i="1"/>
  <c r="M41" i="1"/>
  <c r="M126" i="1"/>
  <c r="M201" i="1"/>
  <c r="M243" i="1"/>
  <c r="M137" i="1"/>
  <c r="M168" i="1"/>
  <c r="M54" i="1"/>
  <c r="M84" i="1"/>
  <c r="M185" i="1"/>
  <c r="M119" i="1"/>
  <c r="M60" i="1"/>
  <c r="M71" i="1"/>
  <c r="M219" i="1"/>
  <c r="M31" i="1"/>
  <c r="M53" i="1"/>
  <c r="M23" i="1"/>
  <c r="M283" i="1"/>
  <c r="M226" i="1"/>
  <c r="M247" i="1"/>
  <c r="M108" i="1"/>
  <c r="M5" i="1"/>
  <c r="M176" i="1"/>
  <c r="M231" i="1"/>
  <c r="M191" i="1"/>
  <c r="M150" i="1"/>
  <c r="M10" i="1"/>
  <c r="M107" i="1"/>
  <c r="M158" i="1"/>
  <c r="M230" i="1"/>
  <c r="M20" i="1"/>
  <c r="M63" i="1"/>
  <c r="M128" i="1"/>
  <c r="M205" i="1"/>
  <c r="M68" i="1"/>
  <c r="M200" i="1"/>
  <c r="M295" i="1"/>
  <c r="M140" i="1"/>
  <c r="M13" i="1"/>
  <c r="M189" i="1"/>
  <c r="M162" i="1"/>
  <c r="M129" i="1"/>
  <c r="M254" i="1"/>
  <c r="M178" i="1"/>
  <c r="M36" i="1"/>
  <c r="M103" i="1"/>
  <c r="M215" i="1"/>
  <c r="M64" i="1"/>
  <c r="C89" i="1"/>
  <c r="C165" i="1"/>
  <c r="C255" i="1"/>
  <c r="C198" i="1"/>
  <c r="C104" i="1"/>
  <c r="C264" i="1"/>
  <c r="C202" i="1"/>
  <c r="C46" i="1"/>
  <c r="C211" i="1"/>
  <c r="C167" i="1"/>
  <c r="C285" i="1"/>
  <c r="C66" i="1"/>
  <c r="C24" i="1"/>
  <c r="C166" i="1"/>
  <c r="C175" i="1"/>
  <c r="C296" i="1"/>
  <c r="C40" i="1"/>
  <c r="C27" i="1"/>
  <c r="C37" i="1"/>
  <c r="C288" i="1"/>
  <c r="C180" i="1"/>
  <c r="C120" i="1"/>
  <c r="C208" i="1"/>
  <c r="C95" i="1"/>
  <c r="C100" i="1"/>
  <c r="C154" i="1"/>
  <c r="C184" i="1"/>
  <c r="C195" i="1"/>
  <c r="C153" i="1"/>
  <c r="C101" i="1"/>
  <c r="C242" i="1"/>
  <c r="C250" i="1"/>
  <c r="C248" i="1"/>
  <c r="C90" i="1"/>
  <c r="C279" i="1"/>
  <c r="C216" i="1"/>
  <c r="C19" i="1"/>
  <c r="C265" i="1"/>
  <c r="C125" i="1"/>
  <c r="C246" i="1"/>
  <c r="C130" i="1"/>
  <c r="C220" i="1"/>
  <c r="C244" i="1"/>
  <c r="C263" i="1"/>
  <c r="C114" i="1"/>
  <c r="C282" i="1"/>
  <c r="C142" i="1"/>
  <c r="C92" i="1"/>
  <c r="C253" i="1"/>
  <c r="C78" i="1"/>
  <c r="C102" i="1"/>
  <c r="C73" i="1"/>
  <c r="C290" i="1"/>
  <c r="C169" i="1"/>
  <c r="C281" i="1"/>
  <c r="C85" i="1"/>
  <c r="C272" i="1"/>
  <c r="C280" i="1"/>
  <c r="C87" i="1"/>
  <c r="C224" i="1"/>
  <c r="C76" i="1"/>
  <c r="C261" i="1"/>
  <c r="C192" i="1"/>
  <c r="C83" i="1"/>
  <c r="C172" i="1"/>
  <c r="C299" i="1"/>
  <c r="C139" i="1"/>
  <c r="C223" i="1"/>
  <c r="C42" i="1"/>
  <c r="C132" i="1"/>
  <c r="C197" i="1"/>
  <c r="C26" i="1"/>
  <c r="C273" i="1"/>
  <c r="C300" i="1"/>
  <c r="C112" i="1"/>
  <c r="C298" i="1"/>
  <c r="C259" i="1"/>
  <c r="C194" i="1"/>
  <c r="C179" i="1"/>
  <c r="C11" i="1"/>
  <c r="C75" i="1"/>
  <c r="C115" i="1"/>
  <c r="C38" i="1"/>
  <c r="C8" i="1"/>
  <c r="C50" i="1"/>
  <c r="C262" i="1"/>
  <c r="C258" i="1"/>
  <c r="C45" i="1"/>
  <c r="C3" i="1"/>
  <c r="C227" i="1"/>
  <c r="C252" i="1"/>
  <c r="C94" i="1"/>
  <c r="C174" i="1"/>
  <c r="C135" i="1"/>
  <c r="C111" i="1"/>
  <c r="C44" i="1"/>
  <c r="C277" i="1"/>
  <c r="C123" i="1"/>
  <c r="C77" i="1"/>
  <c r="C286" i="1"/>
  <c r="C164" i="1"/>
  <c r="C196" i="1"/>
  <c r="C122" i="1"/>
  <c r="C213" i="1"/>
  <c r="C33" i="1"/>
  <c r="C52" i="1"/>
  <c r="C29" i="1"/>
  <c r="C269" i="1"/>
  <c r="C118" i="1"/>
  <c r="C186" i="1"/>
  <c r="C105" i="1"/>
  <c r="C136" i="1"/>
  <c r="C17" i="1"/>
  <c r="C294" i="1"/>
  <c r="C199" i="1"/>
  <c r="C86" i="1"/>
  <c r="C81" i="1"/>
  <c r="C110" i="1"/>
  <c r="C47" i="1"/>
  <c r="C163" i="1"/>
  <c r="C241" i="1"/>
  <c r="C116" i="1"/>
  <c r="C152" i="1"/>
  <c r="C177" i="1"/>
  <c r="C229" i="1"/>
  <c r="C239" i="1"/>
  <c r="C109" i="1"/>
  <c r="C233" i="1"/>
  <c r="C297" i="1"/>
  <c r="C93" i="1"/>
  <c r="C236" i="1"/>
  <c r="C240" i="1"/>
  <c r="C145" i="1"/>
  <c r="C256" i="1"/>
  <c r="C48" i="1"/>
  <c r="C287" i="1"/>
  <c r="C143" i="1"/>
  <c r="C39" i="1"/>
  <c r="C49" i="1"/>
  <c r="C266" i="1"/>
  <c r="C138" i="1"/>
  <c r="C267" i="1"/>
  <c r="C131" i="1"/>
  <c r="C260" i="1"/>
  <c r="C51" i="1"/>
  <c r="C61" i="1"/>
  <c r="C257" i="1"/>
  <c r="C30" i="1"/>
  <c r="C9" i="1"/>
  <c r="C234" i="1"/>
  <c r="C218" i="1"/>
  <c r="C97" i="1"/>
  <c r="C182" i="1"/>
  <c r="C117" i="1"/>
  <c r="C121" i="1"/>
  <c r="C106" i="1"/>
  <c r="C148" i="1"/>
  <c r="C232" i="1"/>
  <c r="C133" i="1"/>
  <c r="C190" i="1"/>
  <c r="C187" i="1"/>
  <c r="C56" i="1"/>
  <c r="C22" i="1"/>
  <c r="C88" i="1"/>
  <c r="C16" i="1"/>
  <c r="C65" i="1"/>
  <c r="C301" i="1"/>
  <c r="C210" i="1"/>
  <c r="C67" i="1"/>
  <c r="C91" i="1"/>
  <c r="C146" i="1"/>
  <c r="C15" i="1"/>
  <c r="C193" i="1"/>
  <c r="C25" i="1"/>
  <c r="C204" i="1"/>
  <c r="C113" i="1"/>
  <c r="C57" i="1"/>
  <c r="C151" i="1"/>
  <c r="C55" i="1"/>
  <c r="C173" i="1"/>
  <c r="C6" i="1"/>
  <c r="C141" i="1"/>
  <c r="C72" i="1"/>
  <c r="C99" i="1"/>
  <c r="C7" i="1"/>
  <c r="C275" i="1"/>
  <c r="C222" i="1"/>
  <c r="C289" i="1"/>
  <c r="C183" i="1"/>
  <c r="C209" i="1"/>
  <c r="C147" i="1"/>
  <c r="C127" i="1"/>
  <c r="C12" i="1"/>
  <c r="C293" i="1"/>
  <c r="C181" i="1"/>
  <c r="C291" i="1"/>
  <c r="C149" i="1"/>
  <c r="C156" i="1"/>
  <c r="C28" i="1"/>
  <c r="C225" i="1"/>
  <c r="C124" i="1"/>
  <c r="C278" i="1"/>
  <c r="C70" i="1"/>
  <c r="C14" i="1"/>
  <c r="C212" i="1"/>
  <c r="C62" i="1"/>
  <c r="C144" i="1"/>
  <c r="C157" i="1"/>
  <c r="C268" i="1"/>
  <c r="C161" i="1"/>
  <c r="C228" i="1"/>
  <c r="C59" i="1"/>
  <c r="C292" i="1"/>
  <c r="C98" i="1"/>
  <c r="C251" i="1"/>
  <c r="C171" i="1"/>
  <c r="C69" i="1"/>
  <c r="C4" i="1"/>
  <c r="C21" i="1"/>
  <c r="C170" i="1"/>
  <c r="C32" i="1"/>
  <c r="C159" i="1"/>
  <c r="C237" i="1"/>
  <c r="C82" i="1"/>
  <c r="C276" i="1"/>
  <c r="C207" i="1"/>
  <c r="C221" i="1"/>
  <c r="C35" i="1"/>
  <c r="C284" i="1"/>
  <c r="C134" i="1"/>
  <c r="C80" i="1"/>
  <c r="C2" i="1"/>
  <c r="C155" i="1"/>
  <c r="C160" i="1"/>
  <c r="C238" i="1"/>
  <c r="C188" i="1"/>
  <c r="C214" i="1"/>
  <c r="C34" i="1"/>
  <c r="C245" i="1"/>
  <c r="C203" i="1"/>
  <c r="C96" i="1"/>
  <c r="C274" i="1"/>
  <c r="C43" i="1"/>
  <c r="C58" i="1"/>
  <c r="C270" i="1"/>
  <c r="C217" i="1"/>
  <c r="C74" i="1"/>
  <c r="C79" i="1"/>
  <c r="C206" i="1"/>
  <c r="C249" i="1"/>
  <c r="C235" i="1"/>
  <c r="C18" i="1"/>
  <c r="C271" i="1"/>
  <c r="C41" i="1"/>
  <c r="C126" i="1"/>
  <c r="C201" i="1"/>
  <c r="C243" i="1"/>
  <c r="C137" i="1"/>
  <c r="C168" i="1"/>
  <c r="C54" i="1"/>
  <c r="C84" i="1"/>
  <c r="C185" i="1"/>
  <c r="C119" i="1"/>
  <c r="C60" i="1"/>
  <c r="C71" i="1"/>
  <c r="C219" i="1"/>
  <c r="C31" i="1"/>
  <c r="C53" i="1"/>
  <c r="C23" i="1"/>
  <c r="C283" i="1"/>
  <c r="C226" i="1"/>
  <c r="C247" i="1"/>
  <c r="C108" i="1"/>
  <c r="C5" i="1"/>
  <c r="C176" i="1"/>
  <c r="C231" i="1"/>
  <c r="C191" i="1"/>
  <c r="C150" i="1"/>
  <c r="C10" i="1"/>
  <c r="C107" i="1"/>
  <c r="C158" i="1"/>
  <c r="C230" i="1"/>
  <c r="C20" i="1"/>
  <c r="C63" i="1"/>
  <c r="C128" i="1"/>
  <c r="C205" i="1"/>
  <c r="C68" i="1"/>
  <c r="C200" i="1"/>
  <c r="C295" i="1"/>
  <c r="C140" i="1"/>
  <c r="C13" i="1"/>
  <c r="C189" i="1"/>
  <c r="C162" i="1"/>
  <c r="C129" i="1"/>
  <c r="C254" i="1"/>
  <c r="C178" i="1"/>
  <c r="C36" i="1"/>
  <c r="C103" i="1"/>
  <c r="C215" i="1"/>
  <c r="C64" i="1"/>
  <c r="B64" i="1"/>
  <c r="B215" i="1"/>
  <c r="B103" i="1"/>
  <c r="B36" i="1"/>
  <c r="B178" i="1"/>
  <c r="B254" i="1"/>
  <c r="B129" i="1"/>
  <c r="B162" i="1"/>
  <c r="B189" i="1"/>
  <c r="B13" i="1"/>
  <c r="B140" i="1"/>
  <c r="B295" i="1"/>
  <c r="B200" i="1"/>
  <c r="B68" i="1"/>
  <c r="B205" i="1"/>
  <c r="B128" i="1"/>
  <c r="B63" i="1"/>
  <c r="B20" i="1"/>
  <c r="B230" i="1"/>
  <c r="B158" i="1"/>
  <c r="B107" i="1"/>
  <c r="B10" i="1"/>
  <c r="B150" i="1"/>
  <c r="B191" i="1"/>
  <c r="B231" i="1"/>
  <c r="B176" i="1"/>
  <c r="B5" i="1"/>
  <c r="B108" i="1"/>
  <c r="B247" i="1"/>
  <c r="B226" i="1"/>
  <c r="B283" i="1"/>
  <c r="B23" i="1"/>
  <c r="B53" i="1"/>
  <c r="B31" i="1"/>
  <c r="B219" i="1"/>
  <c r="B71" i="1"/>
  <c r="B60" i="1"/>
  <c r="B119" i="1"/>
  <c r="B185" i="1"/>
  <c r="B84" i="1"/>
  <c r="B54" i="1"/>
  <c r="B168" i="1"/>
  <c r="B137" i="1"/>
  <c r="B243" i="1"/>
  <c r="B201" i="1"/>
  <c r="B126" i="1"/>
  <c r="B41" i="1"/>
  <c r="B271" i="1"/>
  <c r="B18" i="1"/>
  <c r="B235" i="1"/>
  <c r="B249" i="1"/>
  <c r="B206" i="1"/>
  <c r="B79" i="1"/>
  <c r="B74" i="1"/>
  <c r="B217" i="1"/>
  <c r="B270" i="1"/>
  <c r="B58" i="1"/>
  <c r="B43" i="1"/>
  <c r="B274" i="1"/>
  <c r="B96" i="1"/>
  <c r="B203" i="1"/>
  <c r="B245" i="1"/>
  <c r="B34" i="1"/>
  <c r="B214" i="1"/>
  <c r="B188" i="1"/>
  <c r="B238" i="1"/>
  <c r="B160" i="1"/>
  <c r="B155" i="1"/>
  <c r="B2" i="1"/>
  <c r="B80" i="1"/>
  <c r="B134" i="1"/>
  <c r="B284" i="1"/>
  <c r="B35" i="1"/>
  <c r="B221" i="1"/>
  <c r="B207" i="1"/>
  <c r="B276" i="1"/>
  <c r="B82" i="1"/>
  <c r="B237" i="1"/>
  <c r="B159" i="1"/>
  <c r="B32" i="1"/>
  <c r="B170" i="1"/>
  <c r="B21" i="1"/>
  <c r="B4" i="1"/>
  <c r="B69" i="1"/>
  <c r="B171" i="1"/>
  <c r="B251" i="1"/>
  <c r="B98" i="1"/>
  <c r="B292" i="1"/>
  <c r="B59" i="1"/>
  <c r="B228" i="1"/>
  <c r="B161" i="1"/>
  <c r="B268" i="1"/>
  <c r="B157" i="1"/>
  <c r="B144" i="1"/>
  <c r="B62" i="1"/>
  <c r="B212" i="1"/>
  <c r="B14" i="1"/>
  <c r="B70" i="1"/>
  <c r="B278" i="1"/>
  <c r="B124" i="1"/>
  <c r="B225" i="1"/>
  <c r="B28" i="1"/>
  <c r="B156" i="1"/>
  <c r="B149" i="1"/>
  <c r="B291" i="1"/>
  <c r="B181" i="1"/>
  <c r="B293" i="1"/>
  <c r="B12" i="1"/>
  <c r="B127" i="1"/>
  <c r="B147" i="1"/>
  <c r="B209" i="1"/>
  <c r="B183" i="1"/>
  <c r="B289" i="1"/>
  <c r="B222" i="1"/>
  <c r="B275" i="1"/>
  <c r="B7" i="1"/>
  <c r="B99" i="1"/>
  <c r="B72" i="1"/>
  <c r="B141" i="1"/>
  <c r="B6" i="1"/>
  <c r="B173" i="1"/>
  <c r="B55" i="1"/>
  <c r="B151" i="1"/>
  <c r="B57" i="1"/>
  <c r="B113" i="1"/>
  <c r="B204" i="1"/>
  <c r="B25" i="1"/>
  <c r="B193" i="1"/>
  <c r="B15" i="1"/>
  <c r="B146" i="1"/>
  <c r="B91" i="1"/>
  <c r="B67" i="1"/>
  <c r="B210" i="1"/>
  <c r="B301" i="1"/>
  <c r="B65" i="1"/>
  <c r="B16" i="1"/>
  <c r="B88" i="1"/>
  <c r="B22" i="1"/>
  <c r="B56" i="1"/>
  <c r="B187" i="1"/>
  <c r="B190" i="1"/>
  <c r="B133" i="1"/>
  <c r="B232" i="1"/>
  <c r="B148" i="1"/>
  <c r="B106" i="1"/>
  <c r="B121" i="1"/>
  <c r="B117" i="1"/>
  <c r="B182" i="1"/>
  <c r="B97" i="1"/>
  <c r="B218" i="1"/>
  <c r="B234" i="1"/>
  <c r="B9" i="1"/>
  <c r="B30" i="1"/>
  <c r="B257" i="1"/>
  <c r="B61" i="1"/>
  <c r="B51" i="1"/>
  <c r="B260" i="1"/>
  <c r="B131" i="1"/>
  <c r="B267" i="1"/>
  <c r="B138" i="1"/>
  <c r="B266" i="1"/>
  <c r="B49" i="1"/>
  <c r="B39" i="1"/>
  <c r="B143" i="1"/>
  <c r="B287" i="1"/>
  <c r="B48" i="1"/>
  <c r="B256" i="1"/>
  <c r="B145" i="1"/>
  <c r="B240" i="1"/>
  <c r="B236" i="1"/>
  <c r="B93" i="1"/>
  <c r="B297" i="1"/>
  <c r="B233" i="1"/>
  <c r="B109" i="1"/>
  <c r="B239" i="1"/>
  <c r="B229" i="1"/>
  <c r="B177" i="1"/>
  <c r="B152" i="1"/>
  <c r="B116" i="1"/>
  <c r="B241" i="1"/>
  <c r="B163" i="1"/>
  <c r="B47" i="1"/>
  <c r="B110" i="1"/>
  <c r="B81" i="1"/>
  <c r="B86" i="1"/>
  <c r="B199" i="1"/>
  <c r="B294" i="1"/>
  <c r="B17" i="1"/>
  <c r="B136" i="1"/>
  <c r="B105" i="1"/>
  <c r="B186" i="1"/>
  <c r="B118" i="1"/>
  <c r="B269" i="1"/>
  <c r="B29" i="1"/>
  <c r="B52" i="1"/>
  <c r="B33" i="1"/>
  <c r="B213" i="1"/>
  <c r="B122" i="1"/>
  <c r="B196" i="1"/>
  <c r="B164" i="1"/>
  <c r="B286" i="1"/>
  <c r="B77" i="1"/>
  <c r="B123" i="1"/>
  <c r="B277" i="1"/>
  <c r="B44" i="1"/>
  <c r="B111" i="1"/>
  <c r="B135" i="1"/>
  <c r="B174" i="1"/>
  <c r="B94" i="1"/>
  <c r="B252" i="1"/>
  <c r="B227" i="1"/>
  <c r="B3" i="1"/>
  <c r="B45" i="1"/>
  <c r="B258" i="1"/>
  <c r="B262" i="1"/>
  <c r="B50" i="1"/>
  <c r="B8" i="1"/>
  <c r="B38" i="1"/>
  <c r="B115" i="1"/>
  <c r="B75" i="1"/>
  <c r="B11" i="1"/>
  <c r="B179" i="1"/>
  <c r="B194" i="1"/>
  <c r="B259" i="1"/>
  <c r="B298" i="1"/>
  <c r="B112" i="1"/>
  <c r="B300" i="1"/>
  <c r="B273" i="1"/>
  <c r="B26" i="1"/>
  <c r="B197" i="1"/>
  <c r="B132" i="1"/>
  <c r="B42" i="1"/>
  <c r="B223" i="1"/>
  <c r="B139" i="1"/>
  <c r="B299" i="1"/>
  <c r="B172" i="1"/>
  <c r="B83" i="1"/>
  <c r="B192" i="1"/>
  <c r="B261" i="1"/>
  <c r="B76" i="1"/>
  <c r="B224" i="1"/>
  <c r="B87" i="1"/>
  <c r="B280" i="1"/>
  <c r="B272" i="1"/>
  <c r="B85" i="1"/>
  <c r="B281" i="1"/>
  <c r="B169" i="1"/>
  <c r="B290" i="1"/>
  <c r="B73" i="1"/>
  <c r="B102" i="1"/>
  <c r="B78" i="1"/>
  <c r="B253" i="1"/>
  <c r="B92" i="1"/>
  <c r="B142" i="1"/>
  <c r="B282" i="1"/>
  <c r="B114" i="1"/>
  <c r="B263" i="1"/>
  <c r="B244" i="1"/>
  <c r="B220" i="1"/>
  <c r="B130" i="1"/>
  <c r="B246" i="1"/>
  <c r="B125" i="1"/>
  <c r="B265" i="1"/>
  <c r="B19" i="1"/>
  <c r="B216" i="1"/>
  <c r="B279" i="1"/>
  <c r="B90" i="1"/>
  <c r="B248" i="1"/>
  <c r="B250" i="1"/>
  <c r="B242" i="1"/>
  <c r="B101" i="1"/>
  <c r="B153" i="1"/>
  <c r="B195" i="1"/>
  <c r="B184" i="1"/>
  <c r="B154" i="1"/>
  <c r="B100" i="1"/>
  <c r="B95" i="1"/>
  <c r="B208" i="1"/>
  <c r="B120" i="1"/>
  <c r="B180" i="1"/>
  <c r="B288" i="1"/>
  <c r="B37" i="1"/>
  <c r="B27" i="1"/>
  <c r="B40" i="1"/>
  <c r="B296" i="1"/>
  <c r="B175" i="1"/>
  <c r="B166" i="1"/>
  <c r="B24" i="1"/>
  <c r="B66" i="1"/>
  <c r="B285" i="1"/>
  <c r="B167" i="1"/>
  <c r="B211" i="1"/>
  <c r="B46" i="1"/>
  <c r="B202" i="1"/>
  <c r="B264" i="1"/>
  <c r="B104" i="1"/>
  <c r="B198" i="1"/>
  <c r="B255" i="1"/>
  <c r="B165" i="1"/>
  <c r="B89" i="1"/>
</calcChain>
</file>

<file path=xl/sharedStrings.xml><?xml version="1.0" encoding="utf-8"?>
<sst xmlns="http://schemas.openxmlformats.org/spreadsheetml/2006/main" count="1278" uniqueCount="53">
  <si>
    <t>Data</t>
  </si>
  <si>
    <t>Produto</t>
  </si>
  <si>
    <t>Categoria</t>
  </si>
  <si>
    <t>Região</t>
  </si>
  <si>
    <t>Vendedor</t>
  </si>
  <si>
    <t>Quantidade</t>
  </si>
  <si>
    <t>Preço Unitário</t>
  </si>
  <si>
    <t>Receita</t>
  </si>
  <si>
    <t>Custo</t>
  </si>
  <si>
    <t>Lucro</t>
  </si>
  <si>
    <t>Monitor</t>
  </si>
  <si>
    <t>Eletrônicos</t>
  </si>
  <si>
    <t>Centro-Oeste</t>
  </si>
  <si>
    <t>Carlos</t>
  </si>
  <si>
    <t>Teclado</t>
  </si>
  <si>
    <t>Acessórios</t>
  </si>
  <si>
    <t>Norte</t>
  </si>
  <si>
    <t>Eduardo</t>
  </si>
  <si>
    <t>Mouse</t>
  </si>
  <si>
    <t>Nordeste</t>
  </si>
  <si>
    <t>Bruno</t>
  </si>
  <si>
    <t>Sul</t>
  </si>
  <si>
    <t>Ana</t>
  </si>
  <si>
    <t>Headset</t>
  </si>
  <si>
    <t>Sudeste</t>
  </si>
  <si>
    <t>Daniela</t>
  </si>
  <si>
    <t>Notebook</t>
  </si>
  <si>
    <t>Mês</t>
  </si>
  <si>
    <t>Ano</t>
  </si>
  <si>
    <t>Margem de lucro</t>
  </si>
  <si>
    <t>Rótulos de Linha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</si>
  <si>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</si>
  <si>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</si>
  <si>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</si>
  <si>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</si>
  <si>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</si>
  <si>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</si>
  <si>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</si>
  <si>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</si>
  <si>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</si>
  <si>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</si>
  <si>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</si>
  <si>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</si>
  <si>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Geral</t>
  </si>
  <si>
    <t>Soma de Receita</t>
  </si>
  <si>
    <t>Nome</t>
  </si>
  <si>
    <t>categoria</t>
  </si>
  <si>
    <t>Soma de Lucro</t>
  </si>
  <si>
    <t>Média de Margem de lucro</t>
  </si>
  <si>
    <t>Média de Receita</t>
  </si>
  <si>
    <t>ticket medio</t>
  </si>
  <si>
    <t>media margem de lucro</t>
  </si>
  <si>
    <t>Lucro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</si>
</sst>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0" fontId="2" fillId="0" borderId="1" xfId="0" applyNumberFormat="1" applyFont="1" applyBorder="1" applyAlignment="1">
      <alignment horizontal="center" vertical="top"/>
    </xf>
    <xf numFmtId="10" fontId="0" fillId="0" borderId="0" xfId="0" applyNumberFormat="1"/>
    <xf numFmtId="0" fontId="4" fillId="0" borderId="0" xfId="0" applyFont="1"/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4" fillId="0" borderId="0" xfId="0" applyNumberFormat="1" applyFont="1"/>
    <xf numFmtId="0" fontId="3" fillId="2" borderId="0" xfId="2"/>
    <xf numFmtId="44" fontId="3" fillId="2" borderId="0" xfId="2" applyNumberFormat="1"/>
    <xf numFmtId="0" fontId="3" fillId="2" borderId="0" xfId="2" applyAlignment="1" applyProtection="1">
      <alignment horizontal="center"/>
      <protection locked="0"/>
    </xf>
    <xf numFmtId="0" fontId="3" fillId="2" borderId="0" xfId="2" applyProtection="1">
      <protection locked="0"/>
    </xf>
  </cellXfs>
  <cellStyles count="3">
    <cellStyle name="60% - Ênfase1" xfId="2" builtinId="32"/>
    <cellStyle name="Moeda" xfId="1" builtinId="4"/>
    <cellStyle name="Normal" xfId="0" builtinId="0"/>
  </cellStyles>
  <dxfs count="7">
    <dxf>
      <numFmt numFmtId="14" formatCode="0.00%"/>
    </dxf>
    <dxf>
      <numFmt numFmtId="0" formatCode="General"/>
    </dxf>
    <dxf>
      <numFmt numFmtId="164" formatCode="yyyy\-mm\-dd\ hh:mm:ss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[dataset_vendas_excel (version 1).xlsx]Dinâmica1!Tabela dinâmica19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349588478618696"/>
          <c:y val="0.48965041484337901"/>
          <c:w val="0.74951437590652614"/>
          <c:h val="0.366324090080276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Dinâmica1!$K$4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Dinâmica1!$J$5:$J$7</c:f>
              <c:strCache>
                <c:ptCount val="2"/>
                <c:pt idx="0">
                  <c:v>Acessórios</c:v>
                </c:pt>
                <c:pt idx="1">
                  <c:v>Eletrônicos</c:v>
                </c:pt>
              </c:strCache>
            </c:strRef>
          </c:cat>
          <c:val>
            <c:numRef>
              <c:f>Dinâmica1!$K$5:$K$7</c:f>
              <c:numCache>
                <c:formatCode>_("R$"* #,##0.00_);_("R$"* \(#,##0.00\);_("R$"* "-"??_);_(@_)</c:formatCode>
                <c:ptCount val="2"/>
                <c:pt idx="0">
                  <c:v>352047.75097997859</c:v>
                </c:pt>
                <c:pt idx="1">
                  <c:v>917584.48849562381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4-4FB0-BBF3-698D65EBF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9081248"/>
        <c:axId val="489084608"/>
      </c:barChart>
      <c:catAx>
        <c:axId val="489081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9084608"/>
        <c:crosses val="autoZero"/>
        <c:auto val="1"/>
        <c:lblAlgn val="ctr"/>
        <c:lblOffset val="100"/>
        <c:noMultiLvlLbl val="0"/>
      </c:catAx>
      <c:valAx>
        <c:axId val="48908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908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[dataset_vendas_excel (version 1).xlsx]Dinâmica1!Tabela dinâmica20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Dinâmica1!$K$20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EE-453B-9A56-8002741FE5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EE-453B-9A56-8002741FE5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EE-453B-9A56-8002741FE5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EE-453B-9A56-8002741FE5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EE-453B-9A56-8002741FE566}"/>
              </c:ext>
            </c:extLst>
          </c:dPt>
          <c:cat>
            <c:strRef>
              <c:f>Dinâmica1!$J$21:$J$26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Dinâmica1!$K$21:$K$26</c:f>
              <c:numCache>
                <c:formatCode>_("R$"* #,##0.00_);_("R$"* \(#,##0.00\);_("R$"* "-"??_);_(@_)</c:formatCode>
                <c:ptCount val="5"/>
                <c:pt idx="0">
                  <c:v>189209.35465251384</c:v>
                </c:pt>
                <c:pt idx="1">
                  <c:v>253217.28898741381</c:v>
                </c:pt>
                <c:pt idx="2">
                  <c:v>204996.71368614183</c:v>
                </c:pt>
                <c:pt idx="3">
                  <c:v>260307.58200205816</c:v>
                </c:pt>
                <c:pt idx="4">
                  <c:v>361901.30014747463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8-4F46-9A8E-CEF7181F4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117208.99090355934</c:v>
              </c:pt>
              <c:pt idx="1">
                <c:v>141091.28694744478</c:v>
              </c:pt>
              <c:pt idx="2">
                <c:v>160545.87416633527</c:v>
              </c:pt>
              <c:pt idx="3">
                <c:v>79756.81135019903</c:v>
              </c:pt>
              <c:pt idx="4">
                <c:v>63187.149507086637</c:v>
              </c:pt>
              <c:pt idx="5">
                <c:v>72046.312738642169</c:v>
              </c:pt>
              <c:pt idx="6">
                <c:v>91838.515980298995</c:v>
              </c:pt>
              <c:pt idx="7">
                <c:v>137834.43090932514</c:v>
              </c:pt>
              <c:pt idx="8">
                <c:v>66274.553831839119</c:v>
              </c:pt>
              <c:pt idx="9">
                <c:v>172437.70928104492</c:v>
              </c:pt>
              <c:pt idx="10">
                <c:v>55216.879430109904</c:v>
              </c:pt>
              <c:pt idx="11">
                <c:v>112193.72442971708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BC2-423E-AC8F-F05A88E36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633712"/>
        <c:axId val="54632272"/>
      </c:lineChart>
      <c:catAx>
        <c:axId val="5463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32272"/>
        <c:crosses val="autoZero"/>
        <c:auto val="1"/>
        <c:lblAlgn val="ctr"/>
        <c:lblOffset val="100"/>
        <c:noMultiLvlLbl val="0"/>
      </c:catAx>
      <c:valAx>
        <c:axId val="5463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3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Acessórios</c:v>
              </c:pt>
              <c:pt idx="1">
                <c:v>Eletrônicos</c:v>
              </c:pt>
            </c:strLit>
          </c:cat>
          <c:val>
            <c:numLit>
              <c:formatCode>General</c:formatCode>
              <c:ptCount val="2"/>
              <c:pt idx="0">
                <c:v>0.351074272002868</c:v>
              </c:pt>
              <c:pt idx="1">
                <c:v>0.35180638505763212</c:v>
              </c:pt>
            </c:numLit>
          </c:val>
          <c:extLst>
            <c:ext xmlns:c16="http://schemas.microsoft.com/office/drawing/2014/chart" uri="{C3380CC4-5D6E-409C-BE32-E72D297353CC}">
              <c16:uniqueId val="{00000000-41DC-43DB-A298-7439F44DD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271360"/>
        <c:axId val="49280960"/>
      </c:barChart>
      <c:catAx>
        <c:axId val="49271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280960"/>
        <c:crosses val="autoZero"/>
        <c:auto val="1"/>
        <c:lblAlgn val="ctr"/>
        <c:lblOffset val="100"/>
        <c:noMultiLvlLbl val="0"/>
      </c:catAx>
      <c:valAx>
        <c:axId val="4928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27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[dataset_vendas_excel (version 1).xlsx]Dinâmica1!Tabela dinâmica29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Dinâmica1!$B$21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Dinâmica1!$A$22:$A$27</c:f>
              <c:strCache>
                <c:ptCount val="5"/>
                <c:pt idx="0">
                  <c:v>Carlos</c:v>
                </c:pt>
                <c:pt idx="1">
                  <c:v>Bruno</c:v>
                </c:pt>
                <c:pt idx="2">
                  <c:v>Daniela</c:v>
                </c:pt>
                <c:pt idx="3">
                  <c:v>Eduardo</c:v>
                </c:pt>
                <c:pt idx="4">
                  <c:v>Ana</c:v>
                </c:pt>
              </c:strCache>
            </c:strRef>
          </c:cat>
          <c:val>
            <c:numRef>
              <c:f>Dinâmica1!$B$22:$B$27</c:f>
              <c:numCache>
                <c:formatCode>_("R$"* #,##0.00_);_("R$"* \(#,##0.00\);_("R$"* "-"??_);_(@_)</c:formatCode>
                <c:ptCount val="5"/>
                <c:pt idx="0">
                  <c:v>71293.066326779692</c:v>
                </c:pt>
                <c:pt idx="1">
                  <c:v>77651.346267611734</c:v>
                </c:pt>
                <c:pt idx="2">
                  <c:v>91051.040390238559</c:v>
                </c:pt>
                <c:pt idx="3">
                  <c:v>101919.17043534611</c:v>
                </c:pt>
                <c:pt idx="4">
                  <c:v>108667.63478582285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E-411A-BFEF-68E3BE4DE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1133232"/>
        <c:axId val="291134192"/>
      </c:barChart>
      <c:catAx>
        <c:axId val="291133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1134192"/>
        <c:crosses val="autoZero"/>
        <c:auto val="1"/>
        <c:lblAlgn val="ctr"/>
        <c:lblOffset val="100"/>
        <c:noMultiLvlLbl val="0"/>
      </c:catAx>
      <c:valAx>
        <c:axId val="29113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113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[dataset_vendas_excel (version 1).xlsx]Dinâmica1!Tabela dinâmica19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Dinâmica1!$K$4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Dinâmica1!$J$5:$J$7</c:f>
              <c:strCache>
                <c:ptCount val="2"/>
                <c:pt idx="0">
                  <c:v>Acessórios</c:v>
                </c:pt>
                <c:pt idx="1">
                  <c:v>Eletrônicos</c:v>
                </c:pt>
              </c:strCache>
            </c:strRef>
          </c:cat>
          <c:val>
            <c:numRef>
              <c:f>Dinâmica1!$K$5:$K$7</c:f>
              <c:numCache>
                <c:formatCode>_("R$"* #,##0.00_);_("R$"* \(#,##0.00\);_("R$"* "-"??_);_(@_)</c:formatCode>
                <c:ptCount val="2"/>
                <c:pt idx="0">
                  <c:v>352047.75097997859</c:v>
                </c:pt>
                <c:pt idx="1">
                  <c:v>917584.48849562381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F-4C9A-BEA6-68053AD02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234064"/>
        <c:axId val="192230704"/>
      </c:barChart>
      <c:catAx>
        <c:axId val="192234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230704"/>
        <c:crosses val="autoZero"/>
        <c:auto val="1"/>
        <c:lblAlgn val="ctr"/>
        <c:lblOffset val="100"/>
        <c:noMultiLvlLbl val="0"/>
      </c:catAx>
      <c:valAx>
        <c:axId val="19223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23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[dataset_vendas_excel (version 1).xlsx]Dinâmica1!Tabela dinâmica19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Receita</a:t>
            </a:r>
            <a:r>
              <a:rPr lang="en-US" b="1" baseline="0"/>
              <a:t> total por categoria</a:t>
            </a:r>
            <a:r>
              <a:rPr lang="en-US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Dinâmica1!$K$4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Dinâmica1!$J$5:$J$7</c:f>
              <c:strCache>
                <c:ptCount val="2"/>
                <c:pt idx="0">
                  <c:v>Acessórios</c:v>
                </c:pt>
                <c:pt idx="1">
                  <c:v>Eletrônicos</c:v>
                </c:pt>
              </c:strCache>
            </c:strRef>
          </c:cat>
          <c:val>
            <c:numRef>
              <c:f>Dinâmica1!$K$5:$K$7</c:f>
              <c:numCache>
                <c:formatCode>_("R$"* #,##0.00_);_("R$"* \(#,##0.00\);_("R$"* "-"??_);_(@_)</c:formatCode>
                <c:ptCount val="2"/>
                <c:pt idx="0">
                  <c:v>352047.75097997859</c:v>
                </c:pt>
                <c:pt idx="1">
                  <c:v>917584.48849562381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E-4CC5-84BE-C154842E3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9081248"/>
        <c:axId val="489084608"/>
      </c:barChart>
      <c:catAx>
        <c:axId val="489081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9084608"/>
        <c:crosses val="autoZero"/>
        <c:auto val="1"/>
        <c:lblAlgn val="ctr"/>
        <c:lblOffset val="100"/>
        <c:noMultiLvlLbl val="0"/>
      </c:catAx>
      <c:valAx>
        <c:axId val="48908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908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[dataset_vendas_excel (version 1).xlsx]Dinâmica1!Tabela dinâmica20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total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Dinâmica1!$K$20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42-4FCC-8248-2AB7E2C83F88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42-4FCC-8248-2AB7E2C83F88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42-4FCC-8248-2AB7E2C83F88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42-4FCC-8248-2AB7E2C83F88}"/>
              </c:ext>
            </c:extLst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B42-4FCC-8248-2AB7E2C83F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Dinâmica1!$J$21:$J$26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Dinâmica1!$K$21:$K$26</c:f>
              <c:numCache>
                <c:formatCode>_("R$"* #,##0.00_);_("R$"* \(#,##0.00\);_("R$"* "-"??_);_(@_)</c:formatCode>
                <c:ptCount val="5"/>
                <c:pt idx="0">
                  <c:v>189209.35465251384</c:v>
                </c:pt>
                <c:pt idx="1">
                  <c:v>253217.28898741381</c:v>
                </c:pt>
                <c:pt idx="2">
                  <c:v>204996.71368614183</c:v>
                </c:pt>
                <c:pt idx="3">
                  <c:v>260307.58200205816</c:v>
                </c:pt>
                <c:pt idx="4">
                  <c:v>361901.30014747463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B42-4FCC-8248-2AB7E2C83F88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total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117208.99090355934</c:v>
              </c:pt>
              <c:pt idx="1">
                <c:v>141091.28694744478</c:v>
              </c:pt>
              <c:pt idx="2">
                <c:v>160545.87416633527</c:v>
              </c:pt>
              <c:pt idx="3">
                <c:v>79756.81135019903</c:v>
              </c:pt>
              <c:pt idx="4">
                <c:v>63187.149507086637</c:v>
              </c:pt>
              <c:pt idx="5">
                <c:v>72046.312738642169</c:v>
              </c:pt>
              <c:pt idx="6">
                <c:v>91838.515980298995</c:v>
              </c:pt>
              <c:pt idx="7">
                <c:v>137834.43090932514</c:v>
              </c:pt>
              <c:pt idx="8">
                <c:v>66274.553831839119</c:v>
              </c:pt>
              <c:pt idx="9">
                <c:v>172437.70928104492</c:v>
              </c:pt>
              <c:pt idx="10">
                <c:v>55216.879430109904</c:v>
              </c:pt>
              <c:pt idx="11">
                <c:v>112193.72442971708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26-491F-AC55-2B1F908B3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633712"/>
        <c:axId val="54632272"/>
      </c:lineChart>
      <c:catAx>
        <c:axId val="5463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32272"/>
        <c:crosses val="autoZero"/>
        <c:auto val="1"/>
        <c:lblAlgn val="ctr"/>
        <c:lblOffset val="100"/>
        <c:noMultiLvlLbl val="0"/>
      </c:catAx>
      <c:valAx>
        <c:axId val="5463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3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Média da margem de lucro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Acessórios</c:v>
              </c:pt>
              <c:pt idx="1">
                <c:v>Eletrônicos</c:v>
              </c:pt>
            </c:strLit>
          </c:cat>
          <c:val>
            <c:numLit>
              <c:formatCode>General</c:formatCode>
              <c:ptCount val="2"/>
              <c:pt idx="0">
                <c:v>0.351074272002868</c:v>
              </c:pt>
              <c:pt idx="1">
                <c:v>0.35180638505763212</c:v>
              </c:pt>
            </c:numLit>
          </c:val>
          <c:extLst>
            <c:ext xmlns:c16="http://schemas.microsoft.com/office/drawing/2014/chart" uri="{C3380CC4-5D6E-409C-BE32-E72D297353CC}">
              <c16:uniqueId val="{00000000-02E7-402C-981D-E2154ADA0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271360"/>
        <c:axId val="49280960"/>
      </c:barChart>
      <c:catAx>
        <c:axId val="49271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280960"/>
        <c:crosses val="autoZero"/>
        <c:auto val="1"/>
        <c:lblAlgn val="ctr"/>
        <c:lblOffset val="100"/>
        <c:noMultiLvlLbl val="0"/>
      </c:catAx>
      <c:valAx>
        <c:axId val="4928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27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[dataset_vendas_excel (version 1).xlsx]Dinâmica1!Tabela dinâmica29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vendedores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Dinâmica1!$B$21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Dinâmica1!$A$22:$A$27</c:f>
              <c:strCache>
                <c:ptCount val="5"/>
                <c:pt idx="0">
                  <c:v>Carlos</c:v>
                </c:pt>
                <c:pt idx="1">
                  <c:v>Bruno</c:v>
                </c:pt>
                <c:pt idx="2">
                  <c:v>Daniela</c:v>
                </c:pt>
                <c:pt idx="3">
                  <c:v>Eduardo</c:v>
                </c:pt>
                <c:pt idx="4">
                  <c:v>Ana</c:v>
                </c:pt>
              </c:strCache>
            </c:strRef>
          </c:cat>
          <c:val>
            <c:numRef>
              <c:f>Dinâmica1!$B$22:$B$27</c:f>
              <c:numCache>
                <c:formatCode>_("R$"* #,##0.00_);_("R$"* \(#,##0.00\);_("R$"* "-"??_);_(@_)</c:formatCode>
                <c:ptCount val="5"/>
                <c:pt idx="0">
                  <c:v>71293.066326779692</c:v>
                </c:pt>
                <c:pt idx="1">
                  <c:v>77651.346267611734</c:v>
                </c:pt>
                <c:pt idx="2">
                  <c:v>91051.040390238559</c:v>
                </c:pt>
                <c:pt idx="3">
                  <c:v>101919.17043534611</c:v>
                </c:pt>
                <c:pt idx="4">
                  <c:v>108667.63478582285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6-4E7E-BC32-67585D8D1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1133232"/>
        <c:axId val="291134192"/>
      </c:barChart>
      <c:catAx>
        <c:axId val="291133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1134192"/>
        <c:crosses val="autoZero"/>
        <c:auto val="1"/>
        <c:lblAlgn val="ctr"/>
        <c:lblOffset val="100"/>
        <c:noMultiLvlLbl val="0"/>
      </c:catAx>
      <c:valAx>
        <c:axId val="29113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113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7</xdr:row>
      <xdr:rowOff>3810</xdr:rowOff>
    </xdr:from>
    <xdr:to>
      <xdr:col>22</xdr:col>
      <xdr:colOff>38100</xdr:colOff>
      <xdr:row>15</xdr:row>
      <xdr:rowOff>167640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D1B5D2C-DBAC-4AB8-6C1E-C749EFB9E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</xdr:colOff>
      <xdr:row>26</xdr:row>
      <xdr:rowOff>11430</xdr:rowOff>
    </xdr:from>
    <xdr:to>
      <xdr:col>14</xdr:col>
      <xdr:colOff>457200</xdr:colOff>
      <xdr:row>41</xdr:row>
      <xdr:rowOff>11430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0684028-D7E8-A426-0B32-AB4D3904E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597010</xdr:colOff>
      <xdr:row>57</xdr:row>
      <xdr:rowOff>179567</xdr:rowOff>
    </xdr:from>
    <xdr:to>
      <xdr:col>14</xdr:col>
      <xdr:colOff>7620</xdr:colOff>
      <xdr:row>71</xdr:row>
      <xdr:rowOff>175260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26EE3F9-3063-47E8-B5F8-3E73475429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594360</xdr:colOff>
      <xdr:row>81</xdr:row>
      <xdr:rowOff>5597</xdr:rowOff>
    </xdr:from>
    <xdr:to>
      <xdr:col>15</xdr:col>
      <xdr:colOff>68580</xdr:colOff>
      <xdr:row>93</xdr:row>
      <xdr:rowOff>174990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19569DB-699B-4CA8-82EA-6612F43E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588818</xdr:colOff>
      <xdr:row>25</xdr:row>
      <xdr:rowOff>96983</xdr:rowOff>
    </xdr:from>
    <xdr:to>
      <xdr:col>22</xdr:col>
      <xdr:colOff>284018</xdr:colOff>
      <xdr:row>40</xdr:row>
      <xdr:rowOff>138546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4F6D738-35DC-03EC-BD24-B46FA2600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173181</xdr:colOff>
      <xdr:row>6</xdr:row>
      <xdr:rowOff>152400</xdr:rowOff>
    </xdr:from>
    <xdr:to>
      <xdr:col>38</xdr:col>
      <xdr:colOff>318654</xdr:colOff>
      <xdr:row>22</xdr:row>
      <xdr:rowOff>13855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CB90374-24F3-EBF3-4C16-90CFDBB20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6</xdr:row>
      <xdr:rowOff>85900</xdr:rowOff>
    </xdr:from>
    <xdr:to>
      <xdr:col>18</xdr:col>
      <xdr:colOff>595745</xdr:colOff>
      <xdr:row>12</xdr:row>
      <xdr:rowOff>139239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1485D0EB-C828-48FE-A47C-199B6C1E9B44}"/>
            </a:ext>
          </a:extLst>
        </xdr:cNvPr>
        <xdr:cNvSpPr/>
      </xdr:nvSpPr>
      <xdr:spPr>
        <a:xfrm>
          <a:off x="7315200" y="1166555"/>
          <a:ext cx="2424545" cy="113399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191193</xdr:colOff>
      <xdr:row>9</xdr:row>
      <xdr:rowOff>115685</xdr:rowOff>
    </xdr:from>
    <xdr:to>
      <xdr:col>18</xdr:col>
      <xdr:colOff>246611</xdr:colOff>
      <xdr:row>11</xdr:row>
      <xdr:rowOff>173874</xdr:rowOff>
    </xdr:to>
    <xdr:sp macro="" textlink="Dinâmica1!B3">
      <xdr:nvSpPr>
        <xdr:cNvPr id="3" name="Retângulo 2">
          <a:extLst>
            <a:ext uri="{FF2B5EF4-FFF2-40B4-BE49-F238E27FC236}">
              <a16:creationId xmlns:a16="http://schemas.microsoft.com/office/drawing/2014/main" id="{B9289ADA-B08D-4913-ADFA-53E303146FB9}"/>
            </a:ext>
          </a:extLst>
        </xdr:cNvPr>
        <xdr:cNvSpPr/>
      </xdr:nvSpPr>
      <xdr:spPr>
        <a:xfrm>
          <a:off x="7506393" y="1736667"/>
          <a:ext cx="1884218" cy="418407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470F0A7B-7D6C-4DA8-ADD7-C8B123088EEE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R$ 450.582,26 </a:t>
          </a:fld>
          <a:endParaRPr lang="en-US" sz="2000"/>
        </a:p>
      </xdr:txBody>
    </xdr:sp>
    <xdr:clientData/>
  </xdr:twoCellAnchor>
  <xdr:twoCellAnchor>
    <xdr:from>
      <xdr:col>15</xdr:col>
      <xdr:colOff>225016</xdr:colOff>
      <xdr:row>6</xdr:row>
      <xdr:rowOff>79664</xdr:rowOff>
    </xdr:from>
    <xdr:to>
      <xdr:col>18</xdr:col>
      <xdr:colOff>379045</xdr:colOff>
      <xdr:row>8</xdr:row>
      <xdr:rowOff>42990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3E72632D-C588-4295-858A-04778064E677}"/>
            </a:ext>
          </a:extLst>
        </xdr:cNvPr>
        <xdr:cNvSpPr/>
      </xdr:nvSpPr>
      <xdr:spPr>
        <a:xfrm>
          <a:off x="7540216" y="1160319"/>
          <a:ext cx="1982829" cy="3235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Lucro total</a:t>
          </a:r>
        </a:p>
      </xdr:txBody>
    </xdr:sp>
    <xdr:clientData/>
  </xdr:twoCellAnchor>
  <xdr:twoCellAnchor editAs="oneCell">
    <xdr:from>
      <xdr:col>28</xdr:col>
      <xdr:colOff>383424</xdr:colOff>
      <xdr:row>14</xdr:row>
      <xdr:rowOff>68233</xdr:rowOff>
    </xdr:from>
    <xdr:to>
      <xdr:col>31</xdr:col>
      <xdr:colOff>383424</xdr:colOff>
      <xdr:row>27</xdr:row>
      <xdr:rowOff>154997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8" name="Mês 4">
              <a:extLst>
                <a:ext uri="{FF2B5EF4-FFF2-40B4-BE49-F238E27FC236}">
                  <a16:creationId xmlns:a16="http://schemas.microsoft.com/office/drawing/2014/main" id="{B7255699-87B7-44D5-A5D2-28C10F21FA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32681" y="2506633"/>
              <a:ext cx="1828800" cy="23509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881147</xdr:colOff>
      <xdr:row>14</xdr:row>
      <xdr:rowOff>55764</xdr:rowOff>
    </xdr:from>
    <xdr:to>
      <xdr:col>27</xdr:col>
      <xdr:colOff>538247</xdr:colOff>
      <xdr:row>27</xdr:row>
      <xdr:rowOff>152919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9" name="Categoria 4">
              <a:extLst>
                <a:ext uri="{FF2B5EF4-FFF2-40B4-BE49-F238E27FC236}">
                  <a16:creationId xmlns:a16="http://schemas.microsoft.com/office/drawing/2014/main" id="{19206130-B04D-4182-AD2A-70AD98F675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43661" y="2494164"/>
              <a:ext cx="1834243" cy="23613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509155</xdr:colOff>
      <xdr:row>14</xdr:row>
      <xdr:rowOff>78971</xdr:rowOff>
    </xdr:from>
    <xdr:to>
      <xdr:col>22</xdr:col>
      <xdr:colOff>509155</xdr:colOff>
      <xdr:row>28</xdr:row>
      <xdr:rowOff>1955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0" name="Região 4">
              <a:extLst>
                <a:ext uri="{FF2B5EF4-FFF2-40B4-BE49-F238E27FC236}">
                  <a16:creationId xmlns:a16="http://schemas.microsoft.com/office/drawing/2014/main" id="{D4EB9DBE-6E32-414D-95A6-B8B429C0BE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 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91555" y="2517371"/>
              <a:ext cx="1828800" cy="23613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134736</xdr:colOff>
      <xdr:row>14</xdr:row>
      <xdr:rowOff>79317</xdr:rowOff>
    </xdr:from>
    <xdr:to>
      <xdr:col>25</xdr:col>
      <xdr:colOff>229986</xdr:colOff>
      <xdr:row>27</xdr:row>
      <xdr:rowOff>166080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1" name="Vendedor 4">
              <a:extLst>
                <a:ext uri="{FF2B5EF4-FFF2-40B4-BE49-F238E27FC236}">
                  <a16:creationId xmlns:a16="http://schemas.microsoft.com/office/drawing/2014/main" id="{7AF6CD9C-33F3-4D92-A9BA-1178B02659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55536" y="2517717"/>
              <a:ext cx="1836964" cy="23509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15</xdr:col>
      <xdr:colOff>209550</xdr:colOff>
      <xdr:row>30</xdr:row>
      <xdr:rowOff>78278</xdr:rowOff>
    </xdr:from>
    <xdr:to>
      <xdr:col>34</xdr:col>
      <xdr:colOff>438150</xdr:colOff>
      <xdr:row>50</xdr:row>
      <xdr:rowOff>76200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58518AAD-EC30-4904-B2D8-5AB61B19C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29</xdr:row>
      <xdr:rowOff>114300</xdr:rowOff>
    </xdr:from>
    <xdr:to>
      <xdr:col>14</xdr:col>
      <xdr:colOff>533400</xdr:colOff>
      <xdr:row>51</xdr:row>
      <xdr:rowOff>76200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B808213B-C296-4551-A9B0-49F6C17A8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0</xdr:row>
      <xdr:rowOff>138002</xdr:rowOff>
    </xdr:from>
    <xdr:to>
      <xdr:col>14</xdr:col>
      <xdr:colOff>495300</xdr:colOff>
      <xdr:row>28</xdr:row>
      <xdr:rowOff>114300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E27DB523-BF09-41C4-8BF0-88AB362735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171450</xdr:colOff>
      <xdr:row>29</xdr:row>
      <xdr:rowOff>152400</xdr:rowOff>
    </xdr:from>
    <xdr:to>
      <xdr:col>47</xdr:col>
      <xdr:colOff>21772</xdr:colOff>
      <xdr:row>51</xdr:row>
      <xdr:rowOff>152400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BB284878-EE01-41C7-BD96-E41D4740E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176644</xdr:colOff>
      <xdr:row>1</xdr:row>
      <xdr:rowOff>0</xdr:rowOff>
    </xdr:from>
    <xdr:to>
      <xdr:col>47</xdr:col>
      <xdr:colOff>0</xdr:colOff>
      <xdr:row>28</xdr:row>
      <xdr:rowOff>171450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B8CECE83-07EB-4AD0-873A-B72328227A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13855</xdr:colOff>
      <xdr:row>6</xdr:row>
      <xdr:rowOff>69274</xdr:rowOff>
    </xdr:from>
    <xdr:to>
      <xdr:col>35</xdr:col>
      <xdr:colOff>0</xdr:colOff>
      <xdr:row>12</xdr:row>
      <xdr:rowOff>122613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E397FBFD-E4B9-4775-80A9-18F8B8D3223F}"/>
            </a:ext>
          </a:extLst>
        </xdr:cNvPr>
        <xdr:cNvSpPr/>
      </xdr:nvSpPr>
      <xdr:spPr>
        <a:xfrm>
          <a:off x="7938655" y="2951019"/>
          <a:ext cx="2424545" cy="113399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31</xdr:col>
      <xdr:colOff>235528</xdr:colOff>
      <xdr:row>6</xdr:row>
      <xdr:rowOff>55419</xdr:rowOff>
    </xdr:from>
    <xdr:to>
      <xdr:col>34</xdr:col>
      <xdr:colOff>389557</xdr:colOff>
      <xdr:row>8</xdr:row>
      <xdr:rowOff>18745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28E81D4A-6BBD-49E4-BF61-6395890314D6}"/>
            </a:ext>
          </a:extLst>
        </xdr:cNvPr>
        <xdr:cNvSpPr/>
      </xdr:nvSpPr>
      <xdr:spPr>
        <a:xfrm>
          <a:off x="8160328" y="2937164"/>
          <a:ext cx="1982829" cy="3235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Receita total</a:t>
          </a:r>
        </a:p>
      </xdr:txBody>
    </xdr:sp>
    <xdr:clientData/>
  </xdr:twoCellAnchor>
  <xdr:twoCellAnchor>
    <xdr:from>
      <xdr:col>31</xdr:col>
      <xdr:colOff>290946</xdr:colOff>
      <xdr:row>9</xdr:row>
      <xdr:rowOff>110835</xdr:rowOff>
    </xdr:from>
    <xdr:to>
      <xdr:col>34</xdr:col>
      <xdr:colOff>346364</xdr:colOff>
      <xdr:row>11</xdr:row>
      <xdr:rowOff>169024</xdr:rowOff>
    </xdr:to>
    <xdr:sp macro="" textlink="Dinâmica1!B8">
      <xdr:nvSpPr>
        <xdr:cNvPr id="8" name="Retângulo 7">
          <a:extLst>
            <a:ext uri="{FF2B5EF4-FFF2-40B4-BE49-F238E27FC236}">
              <a16:creationId xmlns:a16="http://schemas.microsoft.com/office/drawing/2014/main" id="{8F1C5ED0-E276-4C41-9AE2-3AFEB28FF487}"/>
            </a:ext>
          </a:extLst>
        </xdr:cNvPr>
        <xdr:cNvSpPr/>
      </xdr:nvSpPr>
      <xdr:spPr>
        <a:xfrm>
          <a:off x="11263746" y="1191490"/>
          <a:ext cx="1884218" cy="418407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82A3701A-20B8-4685-A83A-AC794CDEABC2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R$ 1.269.632,24 </a:t>
          </a:fld>
          <a:endParaRPr lang="en-US" sz="1800"/>
        </a:p>
      </xdr:txBody>
    </xdr:sp>
    <xdr:clientData/>
  </xdr:twoCellAnchor>
  <xdr:twoCellAnchor>
    <xdr:from>
      <xdr:col>20</xdr:col>
      <xdr:colOff>346364</xdr:colOff>
      <xdr:row>6</xdr:row>
      <xdr:rowOff>85900</xdr:rowOff>
    </xdr:from>
    <xdr:to>
      <xdr:col>24</xdr:col>
      <xdr:colOff>332509</xdr:colOff>
      <xdr:row>12</xdr:row>
      <xdr:rowOff>139239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0214FBB1-3B06-4DF7-A3A6-5791C2837865}"/>
            </a:ext>
          </a:extLst>
        </xdr:cNvPr>
        <xdr:cNvSpPr/>
      </xdr:nvSpPr>
      <xdr:spPr>
        <a:xfrm>
          <a:off x="5832764" y="626227"/>
          <a:ext cx="2424545" cy="113399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592975</xdr:colOff>
      <xdr:row>9</xdr:row>
      <xdr:rowOff>129540</xdr:rowOff>
    </xdr:from>
    <xdr:to>
      <xdr:col>24</xdr:col>
      <xdr:colOff>38793</xdr:colOff>
      <xdr:row>12</xdr:row>
      <xdr:rowOff>7620</xdr:rowOff>
    </xdr:to>
    <xdr:sp macro="" textlink="Dinâmica1!B16">
      <xdr:nvSpPr>
        <xdr:cNvPr id="13" name="Retângulo 12">
          <a:extLst>
            <a:ext uri="{FF2B5EF4-FFF2-40B4-BE49-F238E27FC236}">
              <a16:creationId xmlns:a16="http://schemas.microsoft.com/office/drawing/2014/main" id="{0169FDC4-BA19-4A3A-B83E-173E5653EBE5}"/>
            </a:ext>
          </a:extLst>
        </xdr:cNvPr>
        <xdr:cNvSpPr/>
      </xdr:nvSpPr>
      <xdr:spPr>
        <a:xfrm>
          <a:off x="6079375" y="1210195"/>
          <a:ext cx="1884218" cy="418407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0987A920-6974-4858-8CF8-4B27D6A90F41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R$ 4.232,11 </a:t>
          </a:fld>
          <a:endParaRPr lang="en-US" sz="1100"/>
        </a:p>
      </xdr:txBody>
    </xdr:sp>
    <xdr:clientData/>
  </xdr:twoCellAnchor>
  <xdr:twoCellAnchor>
    <xdr:from>
      <xdr:col>20</xdr:col>
      <xdr:colOff>557525</xdr:colOff>
      <xdr:row>6</xdr:row>
      <xdr:rowOff>79664</xdr:rowOff>
    </xdr:from>
    <xdr:to>
      <xdr:col>24</xdr:col>
      <xdr:colOff>101954</xdr:colOff>
      <xdr:row>8</xdr:row>
      <xdr:rowOff>114300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62D35104-0873-41A5-91F7-DE3538A1EC3B}"/>
            </a:ext>
          </a:extLst>
        </xdr:cNvPr>
        <xdr:cNvSpPr/>
      </xdr:nvSpPr>
      <xdr:spPr>
        <a:xfrm>
          <a:off x="11530325" y="1160319"/>
          <a:ext cx="1982829" cy="39485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fontAlgn="b"/>
          <a:r>
            <a:rPr lang="pt-BR" sz="2400"/>
            <a:t>Ticket Médio</a:t>
          </a:r>
          <a:r>
            <a:rPr lang="pt-BR" sz="2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</a:t>
          </a:r>
          <a:endParaRPr lang="pt-BR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endParaRPr lang="pt-BR" sz="1100"/>
        </a:p>
      </xdr:txBody>
    </xdr:sp>
    <xdr:clientData/>
  </xdr:twoCellAnchor>
  <xdr:twoCellAnchor>
    <xdr:from>
      <xdr:col>25</xdr:col>
      <xdr:colOff>346364</xdr:colOff>
      <xdr:row>6</xdr:row>
      <xdr:rowOff>85900</xdr:rowOff>
    </xdr:from>
    <xdr:to>
      <xdr:col>29</xdr:col>
      <xdr:colOff>332509</xdr:colOff>
      <xdr:row>12</xdr:row>
      <xdr:rowOff>139239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D686E084-5F18-48BA-985F-66C771E3F7DA}"/>
            </a:ext>
          </a:extLst>
        </xdr:cNvPr>
        <xdr:cNvSpPr/>
      </xdr:nvSpPr>
      <xdr:spPr>
        <a:xfrm>
          <a:off x="16100714" y="1038400"/>
          <a:ext cx="3377045" cy="119633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592975</xdr:colOff>
      <xdr:row>9</xdr:row>
      <xdr:rowOff>129540</xdr:rowOff>
    </xdr:from>
    <xdr:to>
      <xdr:col>29</xdr:col>
      <xdr:colOff>38793</xdr:colOff>
      <xdr:row>12</xdr:row>
      <xdr:rowOff>7620</xdr:rowOff>
    </xdr:to>
    <xdr:sp macro="" textlink="Dinâmica1!B12">
      <xdr:nvSpPr>
        <xdr:cNvPr id="16" name="Retângulo 15">
          <a:extLst>
            <a:ext uri="{FF2B5EF4-FFF2-40B4-BE49-F238E27FC236}">
              <a16:creationId xmlns:a16="http://schemas.microsoft.com/office/drawing/2014/main" id="{27F509C6-CB95-404F-9C57-211BEAA9BCA3}"/>
            </a:ext>
          </a:extLst>
        </xdr:cNvPr>
        <xdr:cNvSpPr/>
      </xdr:nvSpPr>
      <xdr:spPr>
        <a:xfrm>
          <a:off x="9127375" y="3371504"/>
          <a:ext cx="1884218" cy="418407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52E6BDEF-889C-4090-91EB-A81818CFBD34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35,14%</a:t>
          </a:fld>
          <a:endParaRPr lang="en-US" sz="1100"/>
        </a:p>
      </xdr:txBody>
    </xdr:sp>
    <xdr:clientData/>
  </xdr:twoCellAnchor>
  <xdr:twoCellAnchor>
    <xdr:from>
      <xdr:col>25</xdr:col>
      <xdr:colOff>571379</xdr:colOff>
      <xdr:row>6</xdr:row>
      <xdr:rowOff>79664</xdr:rowOff>
    </xdr:from>
    <xdr:to>
      <xdr:col>29</xdr:col>
      <xdr:colOff>115808</xdr:colOff>
      <xdr:row>8</xdr:row>
      <xdr:rowOff>42990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61EB33C0-15D8-4571-8CC9-BACB42AF5F84}"/>
            </a:ext>
          </a:extLst>
        </xdr:cNvPr>
        <xdr:cNvSpPr/>
      </xdr:nvSpPr>
      <xdr:spPr>
        <a:xfrm>
          <a:off x="9105779" y="2781300"/>
          <a:ext cx="1982829" cy="3235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fontAlgn="b"/>
          <a:r>
            <a:rPr lang="pt-BR" sz="1600"/>
            <a:t>Média de margem de Lucro</a:t>
          </a:r>
          <a:endParaRPr lang="pt-BR" sz="16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>
              <a:effectLst/>
            </a:rPr>
            <a:t> </a:t>
          </a:r>
          <a:endParaRPr lang="pt-BR" sz="1100"/>
        </a:p>
      </xdr:txBody>
    </xdr:sp>
    <xdr:clientData/>
  </xdr:twoCellAnchor>
  <xdr:twoCellAnchor>
    <xdr:from>
      <xdr:col>15</xdr:col>
      <xdr:colOff>263236</xdr:colOff>
      <xdr:row>56</xdr:row>
      <xdr:rowOff>30480</xdr:rowOff>
    </xdr:from>
    <xdr:to>
      <xdr:col>30</xdr:col>
      <xdr:colOff>60960</xdr:colOff>
      <xdr:row>91</xdr:row>
      <xdr:rowOff>41564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204FEE70-779C-4939-D4B4-1E62B9D8EC68}"/>
            </a:ext>
          </a:extLst>
        </xdr:cNvPr>
        <xdr:cNvSpPr txBox="1"/>
      </xdr:nvSpPr>
      <xdr:spPr>
        <a:xfrm>
          <a:off x="9407236" y="10116589"/>
          <a:ext cx="10410306" cy="63149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1" algn="l" fontAlgn="t">
            <a:lnSpc>
              <a:spcPts val="1500"/>
            </a:lnSpc>
            <a:buNone/>
          </a:pPr>
          <a:r>
            <a:rPr lang="pt-BR" sz="2800" b="0" i="0">
              <a:effectLst/>
              <a:latin typeface="Segoe UI" panose="020B0502040204020203" pitchFamily="34" charset="0"/>
            </a:rPr>
            <a:t>📌 Insights</a:t>
          </a:r>
        </a:p>
        <a:p>
          <a:pPr lvl="1" algn="l" fontAlgn="t">
            <a:lnSpc>
              <a:spcPts val="1500"/>
            </a:lnSpc>
            <a:buNone/>
          </a:pPr>
          <a:endParaRPr lang="pt-BR" sz="2800" b="0" i="0">
            <a:effectLst/>
            <a:latin typeface="Segoe UI" panose="020B0502040204020203" pitchFamily="34" charset="0"/>
          </a:endParaRPr>
        </a:p>
        <a:p>
          <a:pPr lvl="1" algn="l" fontAlgn="t">
            <a:lnSpc>
              <a:spcPts val="1500"/>
            </a:lnSpc>
            <a:buNone/>
          </a:pPr>
          <a:endParaRPr lang="pt-BR" sz="2800" b="0" i="0">
            <a:effectLst/>
            <a:latin typeface="Segoe UI" panose="020B0502040204020203" pitchFamily="34" charset="0"/>
          </a:endParaRPr>
        </a:p>
        <a:p>
          <a:pPr lvl="1" algn="l" fontAlgn="t">
            <a:lnSpc>
              <a:spcPts val="1500"/>
            </a:lnSpc>
            <a:buNone/>
          </a:pPr>
          <a:r>
            <a:rPr lang="pt-BR" sz="2800" b="0" i="0">
              <a:effectLst/>
              <a:latin typeface="Segoe UI" panose="020B0502040204020203" pitchFamily="34" charset="0"/>
            </a:rPr>
            <a:t> - Melhor mês: Outubro</a:t>
          </a:r>
        </a:p>
        <a:p>
          <a:pPr lvl="1" algn="l" fontAlgn="t">
            <a:lnSpc>
              <a:spcPts val="1500"/>
            </a:lnSpc>
            <a:buNone/>
          </a:pPr>
          <a:endParaRPr lang="pt-BR" sz="2800" b="0" i="0">
            <a:effectLst/>
            <a:latin typeface="Segoe UI" panose="020B0502040204020203" pitchFamily="34" charset="0"/>
          </a:endParaRPr>
        </a:p>
        <a:p>
          <a:pPr lvl="1" algn="l" fontAlgn="t">
            <a:lnSpc>
              <a:spcPts val="1500"/>
            </a:lnSpc>
            <a:buNone/>
          </a:pPr>
          <a:r>
            <a:rPr lang="pt-BR" sz="2800" b="0" i="0">
              <a:effectLst/>
              <a:latin typeface="Segoe UI" panose="020B0502040204020203" pitchFamily="34" charset="0"/>
            </a:rPr>
            <a:t> - Pior mês: Novembro</a:t>
          </a:r>
        </a:p>
        <a:p>
          <a:pPr lvl="1" algn="l" fontAlgn="t">
            <a:lnSpc>
              <a:spcPts val="1500"/>
            </a:lnSpc>
            <a:buNone/>
          </a:pPr>
          <a:endParaRPr lang="pt-BR" sz="2800" b="0" i="0">
            <a:effectLst/>
            <a:latin typeface="Segoe UI" panose="020B0502040204020203" pitchFamily="34" charset="0"/>
          </a:endParaRPr>
        </a:p>
        <a:p>
          <a:pPr lvl="1" algn="l" fontAlgn="t">
            <a:lnSpc>
              <a:spcPts val="1500"/>
            </a:lnSpc>
            <a:buNone/>
          </a:pPr>
          <a:r>
            <a:rPr lang="pt-BR" sz="2800" b="0" i="0">
              <a:effectLst/>
              <a:latin typeface="Segoe UI" panose="020B0502040204020203" pitchFamily="34" charset="0"/>
            </a:rPr>
            <a:t> - Melhor vendedor: Ana</a:t>
          </a:r>
        </a:p>
        <a:p>
          <a:pPr lvl="1" algn="l" fontAlgn="t">
            <a:lnSpc>
              <a:spcPts val="1500"/>
            </a:lnSpc>
            <a:buNone/>
          </a:pPr>
          <a:endParaRPr lang="pt-BR" sz="4000" b="0" i="0">
            <a:effectLst/>
            <a:latin typeface="Segoe UI" panose="020B0502040204020203" pitchFamily="34" charset="0"/>
          </a:endParaRPr>
        </a:p>
        <a:p>
          <a:r>
            <a:rPr lang="pt-BR" sz="2800" baseline="0"/>
            <a:t> </a:t>
          </a:r>
          <a:r>
            <a:rPr lang="pt-BR" sz="2800"/>
            <a:t>- A receita apresenta sazonalidade com forte crescimento em outubro</a:t>
          </a:r>
        </a:p>
        <a:p>
          <a:r>
            <a:rPr lang="pt-BR" sz="2800"/>
            <a:t>- O mês de novembro apresenta a maior queda no ano</a:t>
          </a:r>
        </a:p>
        <a:p>
          <a:r>
            <a:rPr lang="pt-BR" sz="2800"/>
            <a:t>- A região Sul concentra a maior parte da receita</a:t>
          </a:r>
        </a:p>
        <a:p>
          <a:r>
            <a:rPr lang="pt-BR" sz="2800"/>
            <a:t>- A categoria Eletrônicos domina com mais de 70% da receita</a:t>
          </a:r>
        </a:p>
        <a:p>
          <a:r>
            <a:rPr lang="pt-BR" sz="2800"/>
            <a:t>- Ana é a principal vendedora do período analisado</a:t>
          </a:r>
        </a:p>
        <a:p>
          <a:r>
            <a:rPr lang="pt-BR" sz="2800"/>
            <a:t>- O ticket médio de R$ 4.232 indica predominância de produtos de alto valor</a:t>
          </a:r>
        </a:p>
        <a:p>
          <a:pPr lvl="1" algn="l" fontAlgn="t">
            <a:lnSpc>
              <a:spcPts val="1500"/>
            </a:lnSpc>
            <a:buNone/>
          </a:pPr>
          <a:endParaRPr lang="pt-BR" sz="2800" b="0" i="0">
            <a:effectLst/>
            <a:latin typeface="Segoe UI" panose="020B0502040204020203" pitchFamily="34" charset="0"/>
          </a:endParaRPr>
        </a:p>
        <a:p>
          <a:endParaRPr lang="pt-BR" sz="18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75.498649537039" createdVersion="8" refreshedVersion="8" minRefreshableVersion="3" recordCount="300" xr:uid="{5932AAD7-B9BC-4B6A-A605-D4C5F4DF89D6}">
  <cacheSource type="worksheet">
    <worksheetSource name="Tabela2"/>
  </cacheSource>
  <cacheFields count="13">
    <cacheField name="Data" numFmtId="164">
      <sharedItems containsSemiMixedTypes="0" containsNonDate="0" containsDate="1" containsString="0" minDate="2023-01-01T00:00:00" maxDate="2024-01-01T00:00:00"/>
    </cacheField>
    <cacheField name="Mês" numFmtId="0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Ano" numFmtId="0">
      <sharedItems containsSemiMixedTypes="0" containsString="0" containsNumber="1" containsInteger="1" minValue="2023" maxValue="2023"/>
    </cacheField>
    <cacheField name="Produto" numFmtId="0">
      <sharedItems count="5">
        <s v="Notebook"/>
        <s v="Teclado"/>
        <s v="Monitor"/>
        <s v="Headset"/>
        <s v="Mouse"/>
      </sharedItems>
    </cacheField>
    <cacheField name="Categoria" numFmtId="0">
      <sharedItems count="2">
        <s v="Eletrônicos"/>
        <s v="Acessórios"/>
      </sharedItems>
    </cacheField>
    <cacheField name="Região" numFmtId="0">
      <sharedItems count="5">
        <s v="Nordeste"/>
        <s v="Centro-Oeste"/>
        <s v="Sul"/>
        <s v="Norte"/>
        <s v="Sudeste"/>
      </sharedItems>
    </cacheField>
    <cacheField name="Vendedor" numFmtId="0">
      <sharedItems count="5">
        <s v="Daniela"/>
        <s v="Eduardo"/>
        <s v="Bruno"/>
        <s v="Ana"/>
        <s v="Carlos"/>
      </sharedItems>
    </cacheField>
    <cacheField name="Quantidade" numFmtId="0">
      <sharedItems containsSemiMixedTypes="0" containsString="0" containsNumber="1" containsInteger="1" minValue="1" maxValue="9"/>
    </cacheField>
    <cacheField name="Preço Unitário" numFmtId="44">
      <sharedItems containsSemiMixedTypes="0" containsString="0" containsNumber="1" minValue="21.82472468810704" maxValue="4979.8596480501292"/>
    </cacheField>
    <cacheField name="Receita" numFmtId="44">
      <sharedItems containsSemiMixedTypes="0" containsString="0" containsNumber="1" minValue="54.010941968458333" maxValue="40122.99035696232"/>
    </cacheField>
    <cacheField name="Custo" numFmtId="44">
      <sharedItems containsSemiMixedTypes="0" containsString="0" containsNumber="1" minValue="40.117437737091663" maxValue="27206.506465455572"/>
    </cacheField>
    <cacheField name="Lucro" numFmtId="44">
      <sharedItems containsSemiMixedTypes="0" containsString="0" containsNumber="1" minValue="10.89048800721643" maxValue="16845.224699973271"/>
    </cacheField>
    <cacheField name="Margem de lucro" numFmtId="10">
      <sharedItems containsSemiMixedTypes="0" containsString="0" containsNumber="1" minValue="0.20163484676079763" maxValue="0.49984388690140535"/>
    </cacheField>
  </cacheFields>
  <extLst>
    <ext xmlns:x14="http://schemas.microsoft.com/office/spreadsheetml/2009/9/main" uri="{725AE2AE-9491-48be-B2B4-4EB974FC3084}">
      <x14:pivotCacheDefinition pivotCacheId="3004317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d v="2023-01-01T00:00:00"/>
    <x v="0"/>
    <n v="2023"/>
    <x v="0"/>
    <x v="0"/>
    <x v="0"/>
    <x v="0"/>
    <n v="9"/>
    <n v="3047.4138803421702"/>
    <n v="27426.724923079531"/>
    <n v="16648.560028531829"/>
    <n v="10778.164894547701"/>
    <n v="0.39298038408799946"/>
  </r>
  <r>
    <d v="2023-01-01T00:00:00"/>
    <x v="0"/>
    <n v="2023"/>
    <x v="1"/>
    <x v="1"/>
    <x v="1"/>
    <x v="1"/>
    <n v="4"/>
    <n v="198.34138829270091"/>
    <n v="793.36555317080365"/>
    <n v="556.55403210005977"/>
    <n v="236.81152107074391"/>
    <n v="0.29848979467824305"/>
  </r>
  <r>
    <d v="2023-01-03T00:00:00"/>
    <x v="0"/>
    <n v="2023"/>
    <x v="0"/>
    <x v="0"/>
    <x v="0"/>
    <x v="2"/>
    <n v="2"/>
    <n v="348.74281575329081"/>
    <n v="697.48563150658163"/>
    <n v="400.44810231955648"/>
    <n v="297.03752918702509"/>
    <n v="0.42586902979695601"/>
  </r>
  <r>
    <d v="2023-01-05T00:00:00"/>
    <x v="0"/>
    <n v="2023"/>
    <x v="2"/>
    <x v="0"/>
    <x v="0"/>
    <x v="3"/>
    <n v="9"/>
    <n v="543.81558601816914"/>
    <n v="4894.3402741635218"/>
    <n v="2583.6181932756431"/>
    <n v="2310.7220808878792"/>
    <n v="0.47212125668618299"/>
  </r>
  <r>
    <d v="2023-01-05T00:00:00"/>
    <x v="0"/>
    <n v="2023"/>
    <x v="3"/>
    <x v="1"/>
    <x v="2"/>
    <x v="3"/>
    <n v="3"/>
    <n v="485.87377649566599"/>
    <n v="1457.6213294869981"/>
    <n v="958.3997990354485"/>
    <n v="499.2215304515496"/>
    <n v="0.3424905497419195"/>
  </r>
  <r>
    <d v="2023-01-09T00:00:00"/>
    <x v="0"/>
    <n v="2023"/>
    <x v="0"/>
    <x v="0"/>
    <x v="1"/>
    <x v="4"/>
    <n v="2"/>
    <n v="2071.8434046999591"/>
    <n v="4143.6868093999174"/>
    <n v="2535.1347522875808"/>
    <n v="1608.5520571123359"/>
    <n v="0.38819344489630575"/>
  </r>
  <r>
    <d v="2023-01-10T00:00:00"/>
    <x v="0"/>
    <n v="2023"/>
    <x v="4"/>
    <x v="1"/>
    <x v="3"/>
    <x v="1"/>
    <n v="5"/>
    <n v="40.566240107856572"/>
    <n v="202.8312005392828"/>
    <n v="124.323155268522"/>
    <n v="78.508045270760832"/>
    <n v="0.38706098993658516"/>
  </r>
  <r>
    <d v="2023-01-11T00:00:00"/>
    <x v="0"/>
    <n v="2023"/>
    <x v="4"/>
    <x v="1"/>
    <x v="4"/>
    <x v="4"/>
    <n v="7"/>
    <n v="46.697926440012708"/>
    <n v="326.88548508008898"/>
    <n v="244.90141293380759"/>
    <n v="81.984072146281363"/>
    <n v="0.25080364803042493"/>
  </r>
  <r>
    <d v="2023-01-12T00:00:00"/>
    <x v="0"/>
    <n v="2023"/>
    <x v="0"/>
    <x v="0"/>
    <x v="4"/>
    <x v="2"/>
    <n v="3"/>
    <n v="3387.803841724789"/>
    <n v="10163.41152517437"/>
    <n v="6705.2534094063039"/>
    <n v="3458.1581157680639"/>
    <n v="0.34025564223217203"/>
  </r>
  <r>
    <d v="2023-01-12T00:00:00"/>
    <x v="0"/>
    <n v="2023"/>
    <x v="4"/>
    <x v="1"/>
    <x v="0"/>
    <x v="0"/>
    <n v="5"/>
    <n v="236.3573227252835"/>
    <n v="1181.786613626417"/>
    <n v="657.58902730363411"/>
    <n v="524.19758632278331"/>
    <n v="0.44356365208287185"/>
  </r>
  <r>
    <d v="2023-01-12T00:00:00"/>
    <x v="0"/>
    <n v="2023"/>
    <x v="4"/>
    <x v="1"/>
    <x v="1"/>
    <x v="4"/>
    <n v="1"/>
    <n v="456.678563600887"/>
    <n v="456.678563600887"/>
    <n v="244.21030363536201"/>
    <n v="212.46825996552499"/>
    <n v="0.46524684296592267"/>
  </r>
  <r>
    <d v="2023-01-14T00:00:00"/>
    <x v="0"/>
    <n v="2023"/>
    <x v="3"/>
    <x v="1"/>
    <x v="1"/>
    <x v="1"/>
    <n v="7"/>
    <n v="344.60011858021397"/>
    <n v="2412.200830061498"/>
    <n v="1554.430043666742"/>
    <n v="857.77078639475621"/>
    <n v="0.35559675450940281"/>
  </r>
  <r>
    <d v="2023-01-15T00:00:00"/>
    <x v="0"/>
    <n v="2023"/>
    <x v="4"/>
    <x v="1"/>
    <x v="1"/>
    <x v="4"/>
    <n v="1"/>
    <n v="528.30012379319032"/>
    <n v="528.30012379319032"/>
    <n v="322.55781579968959"/>
    <n v="205.7423079935007"/>
    <n v="0.38944209688287162"/>
  </r>
  <r>
    <d v="2023-01-16T00:00:00"/>
    <x v="0"/>
    <n v="2023"/>
    <x v="3"/>
    <x v="1"/>
    <x v="4"/>
    <x v="0"/>
    <n v="2"/>
    <n v="39.032609614099663"/>
    <n v="78.065219228199311"/>
    <n v="59.409947416485288"/>
    <n v="18.655271811714019"/>
    <n v="0.23897033782972099"/>
  </r>
  <r>
    <d v="2023-01-17T00:00:00"/>
    <x v="0"/>
    <n v="2023"/>
    <x v="4"/>
    <x v="1"/>
    <x v="2"/>
    <x v="3"/>
    <n v="8"/>
    <n v="611.54608287763153"/>
    <n v="4892.3686630210523"/>
    <n v="3383.9771165302982"/>
    <n v="1508.3915464907541"/>
    <n v="0.30831518439972139"/>
  </r>
  <r>
    <d v="2023-01-20T00:00:00"/>
    <x v="0"/>
    <n v="2023"/>
    <x v="0"/>
    <x v="0"/>
    <x v="0"/>
    <x v="3"/>
    <n v="6"/>
    <n v="2927.1291960419312"/>
    <n v="17562.77517625158"/>
    <n v="9594.6988873127575"/>
    <n v="7968.0762889388261"/>
    <n v="0.4536911854177394"/>
  </r>
  <r>
    <d v="2023-01-21T00:00:00"/>
    <x v="0"/>
    <n v="2023"/>
    <x v="1"/>
    <x v="1"/>
    <x v="1"/>
    <x v="0"/>
    <n v="9"/>
    <n v="530.6606035164516"/>
    <n v="4775.9454316480642"/>
    <n v="2932.53725021739"/>
    <n v="1843.4081814306739"/>
    <n v="0.38597764731883838"/>
  </r>
  <r>
    <d v="2023-01-22T00:00:00"/>
    <x v="0"/>
    <n v="2023"/>
    <x v="3"/>
    <x v="1"/>
    <x v="3"/>
    <x v="4"/>
    <n v="2"/>
    <n v="293.06115800184699"/>
    <n v="586.1223160036941"/>
    <n v="406.49400098638432"/>
    <n v="179.6283150173098"/>
    <n v="0.30646899139083056"/>
  </r>
  <r>
    <d v="2023-01-25T00:00:00"/>
    <x v="0"/>
    <n v="2023"/>
    <x v="3"/>
    <x v="1"/>
    <x v="1"/>
    <x v="2"/>
    <n v="8"/>
    <n v="393.02253797749643"/>
    <n v="3144.180303819971"/>
    <n v="2049.478173579078"/>
    <n v="1094.702130240893"/>
    <n v="0.34816773354597458"/>
  </r>
  <r>
    <d v="2023-01-25T00:00:00"/>
    <x v="0"/>
    <n v="2023"/>
    <x v="3"/>
    <x v="1"/>
    <x v="3"/>
    <x v="2"/>
    <n v="3"/>
    <n v="781.17489953892243"/>
    <n v="2343.5246986167672"/>
    <n v="1408.619431971076"/>
    <n v="934.90526664569143"/>
    <n v="0.39893126246866789"/>
  </r>
  <r>
    <d v="2023-01-25T00:00:00"/>
    <x v="0"/>
    <n v="2023"/>
    <x v="1"/>
    <x v="1"/>
    <x v="3"/>
    <x v="2"/>
    <n v="5"/>
    <n v="21.82472468810704"/>
    <n v="109.1236234405352"/>
    <n v="86.241470812971542"/>
    <n v="22.88215262756367"/>
    <n v="0.20969018353787394"/>
  </r>
  <r>
    <d v="2023-01-27T00:00:00"/>
    <x v="0"/>
    <n v="2023"/>
    <x v="3"/>
    <x v="1"/>
    <x v="4"/>
    <x v="4"/>
    <n v="6"/>
    <n v="200.04676754012939"/>
    <n v="1200.280605240777"/>
    <n v="764.64787385633531"/>
    <n v="435.63273138444129"/>
    <n v="0.36294240653588922"/>
  </r>
  <r>
    <d v="2023-01-28T00:00:00"/>
    <x v="0"/>
    <n v="2023"/>
    <x v="0"/>
    <x v="0"/>
    <x v="0"/>
    <x v="2"/>
    <n v="1"/>
    <n v="364.613833915817"/>
    <n v="364.613833915817"/>
    <n v="216.32345393814541"/>
    <n v="148.29037997767159"/>
    <n v="0.40670530348530126"/>
  </r>
  <r>
    <d v="2023-01-29T00:00:00"/>
    <x v="0"/>
    <n v="2023"/>
    <x v="0"/>
    <x v="0"/>
    <x v="1"/>
    <x v="1"/>
    <n v="9"/>
    <n v="2924.7481757752721"/>
    <n v="26322.733581977449"/>
    <n v="15306.829918131871"/>
    <n v="11015.90366384558"/>
    <n v="0.4184939086792987"/>
  </r>
  <r>
    <d v="2023-01-29T00:00:00"/>
    <x v="0"/>
    <n v="2023"/>
    <x v="3"/>
    <x v="1"/>
    <x v="3"/>
    <x v="1"/>
    <n v="1"/>
    <n v="706.68077553796513"/>
    <n v="706.68077553796513"/>
    <n v="403.51865063786403"/>
    <n v="303.16212490010111"/>
    <n v="0.42899444189537639"/>
  </r>
  <r>
    <d v="2023-01-29T00:00:00"/>
    <x v="0"/>
    <n v="2023"/>
    <x v="2"/>
    <x v="0"/>
    <x v="1"/>
    <x v="4"/>
    <n v="3"/>
    <n v="145.75260405812341"/>
    <n v="437.25781217437032"/>
    <n v="340.58417452127372"/>
    <n v="96.673637653096591"/>
    <n v="0.22109070429722805"/>
  </r>
  <r>
    <d v="2023-02-02T00:00:00"/>
    <x v="1"/>
    <n v="2023"/>
    <x v="1"/>
    <x v="1"/>
    <x v="3"/>
    <x v="2"/>
    <n v="7"/>
    <n v="367.80411097386371"/>
    <n v="2574.6287768170459"/>
    <n v="1498.6605151425099"/>
    <n v="1075.9682616745361"/>
    <n v="0.41791200011550045"/>
  </r>
  <r>
    <d v="2023-02-03T00:00:00"/>
    <x v="1"/>
    <n v="2023"/>
    <x v="0"/>
    <x v="0"/>
    <x v="0"/>
    <x v="4"/>
    <n v="9"/>
    <n v="1720.361827665994"/>
    <n v="15483.25644899395"/>
    <n v="11920.46963359682"/>
    <n v="3562.786815397134"/>
    <n v="0.23010578085649622"/>
  </r>
  <r>
    <d v="2023-02-05T00:00:00"/>
    <x v="1"/>
    <n v="2023"/>
    <x v="3"/>
    <x v="1"/>
    <x v="0"/>
    <x v="2"/>
    <n v="2"/>
    <n v="730.28672276143709"/>
    <n v="1460.573445522874"/>
    <n v="1004.039639444505"/>
    <n v="456.53380607836959"/>
    <n v="0.31257161868702471"/>
  </r>
  <r>
    <d v="2023-02-05T00:00:00"/>
    <x v="1"/>
    <n v="2023"/>
    <x v="3"/>
    <x v="1"/>
    <x v="2"/>
    <x v="0"/>
    <n v="3"/>
    <n v="332.92657295040652"/>
    <n v="998.7797188512194"/>
    <n v="609.3423463112847"/>
    <n v="389.4373725399347"/>
    <n v="0.38991317623855976"/>
  </r>
  <r>
    <d v="2023-02-06T00:00:00"/>
    <x v="1"/>
    <n v="2023"/>
    <x v="0"/>
    <x v="0"/>
    <x v="3"/>
    <x v="4"/>
    <n v="3"/>
    <n v="3417.129800034892"/>
    <n v="10251.389400104679"/>
    <n v="5347.7349014064011"/>
    <n v="4903.6544986982744"/>
    <n v="0.47834047730624712"/>
  </r>
  <r>
    <d v="2023-02-08T00:00:00"/>
    <x v="1"/>
    <n v="2023"/>
    <x v="0"/>
    <x v="0"/>
    <x v="2"/>
    <x v="2"/>
    <n v="9"/>
    <n v="4458.1100396624797"/>
    <n v="40122.99035696232"/>
    <n v="27206.506465455572"/>
    <n v="12916.48389150675"/>
    <n v="0.32192226393378537"/>
  </r>
  <r>
    <d v="2023-02-08T00:00:00"/>
    <x v="1"/>
    <n v="2023"/>
    <x v="1"/>
    <x v="1"/>
    <x v="4"/>
    <x v="0"/>
    <n v="6"/>
    <n v="128.92797870992399"/>
    <n v="773.56787225954429"/>
    <n v="393.73991797230838"/>
    <n v="379.82795428723591"/>
    <n v="0.49100792303819674"/>
  </r>
  <r>
    <d v="2023-02-10T00:00:00"/>
    <x v="1"/>
    <n v="2023"/>
    <x v="2"/>
    <x v="0"/>
    <x v="1"/>
    <x v="3"/>
    <n v="4"/>
    <n v="482.5016641192434"/>
    <n v="1930.0066564769741"/>
    <n v="1059.683977013083"/>
    <n v="870.32267946389106"/>
    <n v="0.45094283822449316"/>
  </r>
  <r>
    <d v="2023-02-11T00:00:00"/>
    <x v="1"/>
    <n v="2023"/>
    <x v="3"/>
    <x v="1"/>
    <x v="2"/>
    <x v="3"/>
    <n v="1"/>
    <n v="533.77987404180601"/>
    <n v="533.77987404180601"/>
    <n v="417.86922339278198"/>
    <n v="115.91065064902401"/>
    <n v="0.21715065757602131"/>
  </r>
  <r>
    <d v="2023-02-14T00:00:00"/>
    <x v="1"/>
    <n v="2023"/>
    <x v="0"/>
    <x v="0"/>
    <x v="1"/>
    <x v="0"/>
    <n v="4"/>
    <n v="4468.1670425253897"/>
    <n v="17872.668170101559"/>
    <n v="11828.1795610139"/>
    <n v="6044.4886090876589"/>
    <n v="0.33819732742530473"/>
  </r>
  <r>
    <d v="2023-02-15T00:00:00"/>
    <x v="1"/>
    <n v="2023"/>
    <x v="1"/>
    <x v="1"/>
    <x v="1"/>
    <x v="2"/>
    <n v="3"/>
    <n v="586.06121654292076"/>
    <n v="1758.1836496287619"/>
    <n v="1202.64079519282"/>
    <n v="555.54285443594244"/>
    <n v="0.31597544121926319"/>
  </r>
  <r>
    <d v="2023-02-18T00:00:00"/>
    <x v="1"/>
    <n v="2023"/>
    <x v="0"/>
    <x v="0"/>
    <x v="0"/>
    <x v="3"/>
    <n v="1"/>
    <n v="2808.6615760057371"/>
    <n v="2808.6615760057371"/>
    <n v="2129.4980119218649"/>
    <n v="679.16356408387219"/>
    <n v="0.24181039463277967"/>
  </r>
  <r>
    <d v="2023-02-21T00:00:00"/>
    <x v="1"/>
    <n v="2023"/>
    <x v="3"/>
    <x v="1"/>
    <x v="0"/>
    <x v="1"/>
    <n v="7"/>
    <n v="491.44555583669751"/>
    <n v="3440.118890856882"/>
    <n v="2277.1947063027451"/>
    <n v="1162.9241845541369"/>
    <n v="0.33804767260949808"/>
  </r>
  <r>
    <d v="2023-02-21T00:00:00"/>
    <x v="1"/>
    <n v="2023"/>
    <x v="1"/>
    <x v="1"/>
    <x v="1"/>
    <x v="0"/>
    <n v="3"/>
    <n v="473.12700154498219"/>
    <n v="1419.381004634947"/>
    <n v="747.8546793109216"/>
    <n v="671.52632532402515"/>
    <n v="0.4731120982535173"/>
  </r>
  <r>
    <d v="2023-02-22T00:00:00"/>
    <x v="1"/>
    <n v="2023"/>
    <x v="0"/>
    <x v="0"/>
    <x v="1"/>
    <x v="1"/>
    <n v="7"/>
    <n v="4979.8596480501292"/>
    <n v="34859.017536350897"/>
    <n v="18013.79283637763"/>
    <n v="16845.224699973271"/>
    <n v="0.48323865359679491"/>
  </r>
  <r>
    <d v="2023-02-22T00:00:00"/>
    <x v="1"/>
    <n v="2023"/>
    <x v="3"/>
    <x v="1"/>
    <x v="2"/>
    <x v="2"/>
    <n v="2"/>
    <n v="799.54270610111996"/>
    <n v="1599.0854122022399"/>
    <n v="822.67125651145273"/>
    <n v="776.4141556907872"/>
    <n v="0.48553638834183321"/>
  </r>
  <r>
    <d v="2023-02-22T00:00:00"/>
    <x v="1"/>
    <n v="2023"/>
    <x v="4"/>
    <x v="1"/>
    <x v="1"/>
    <x v="4"/>
    <n v="3"/>
    <n v="439.06546503697467"/>
    <n v="1317.196395110924"/>
    <n v="840.41838681585136"/>
    <n v="476.7780082950726"/>
    <n v="0.36196425230492835"/>
  </r>
  <r>
    <d v="2023-02-22T00:00:00"/>
    <x v="1"/>
    <n v="2023"/>
    <x v="3"/>
    <x v="1"/>
    <x v="4"/>
    <x v="2"/>
    <n v="3"/>
    <n v="212.93151935969419"/>
    <n v="638.79455807908244"/>
    <n v="405.73882158270129"/>
    <n v="233.05573649638109"/>
    <n v="0.3648367594069718"/>
  </r>
  <r>
    <d v="2023-02-23T00:00:00"/>
    <x v="1"/>
    <n v="2023"/>
    <x v="4"/>
    <x v="1"/>
    <x v="0"/>
    <x v="1"/>
    <n v="2"/>
    <n v="624.60360222166935"/>
    <n v="1249.2072044433389"/>
    <n v="976.69225613233232"/>
    <n v="272.51494831100638"/>
    <n v="0.21815031753074315"/>
  </r>
  <r>
    <d v="2023-03-01T00:00:00"/>
    <x v="2"/>
    <n v="2023"/>
    <x v="3"/>
    <x v="1"/>
    <x v="3"/>
    <x v="3"/>
    <n v="5"/>
    <n v="177.2693096372407"/>
    <n v="886.34654818620356"/>
    <n v="486.69003810785449"/>
    <n v="399.65651007834907"/>
    <n v="0.45090321714028864"/>
  </r>
  <r>
    <d v="2023-03-04T00:00:00"/>
    <x v="2"/>
    <n v="2023"/>
    <x v="2"/>
    <x v="0"/>
    <x v="2"/>
    <x v="2"/>
    <n v="6"/>
    <n v="290.14987560544978"/>
    <n v="1740.8992536326989"/>
    <n v="1051.6527978843351"/>
    <n v="689.24645574836404"/>
    <n v="0.39591403943113168"/>
  </r>
  <r>
    <d v="2023-03-04T00:00:00"/>
    <x v="2"/>
    <n v="2023"/>
    <x v="3"/>
    <x v="1"/>
    <x v="2"/>
    <x v="3"/>
    <n v="7"/>
    <n v="352.89534616266451"/>
    <n v="2470.2674231386518"/>
    <n v="1827.8363539919339"/>
    <n v="642.43106914671807"/>
    <n v="0.26006539337771917"/>
  </r>
  <r>
    <d v="2023-03-06T00:00:00"/>
    <x v="2"/>
    <n v="2023"/>
    <x v="4"/>
    <x v="1"/>
    <x v="2"/>
    <x v="4"/>
    <n v="5"/>
    <n v="604.67107398133624"/>
    <n v="3023.3553699066811"/>
    <n v="1868.121713219411"/>
    <n v="1155.23365668727"/>
    <n v="0.38210316530634225"/>
  </r>
  <r>
    <d v="2023-03-08T00:00:00"/>
    <x v="2"/>
    <n v="2023"/>
    <x v="1"/>
    <x v="1"/>
    <x v="2"/>
    <x v="0"/>
    <n v="8"/>
    <n v="97.56428635228923"/>
    <n v="780.51429081831384"/>
    <n v="447.19695647055931"/>
    <n v="333.31733434775458"/>
    <n v="0.42704834270016379"/>
  </r>
  <r>
    <d v="2023-03-09T00:00:00"/>
    <x v="2"/>
    <n v="2023"/>
    <x v="4"/>
    <x v="1"/>
    <x v="3"/>
    <x v="3"/>
    <n v="2"/>
    <n v="87.797824708190475"/>
    <n v="175.59564941638101"/>
    <n v="116.0918963131148"/>
    <n v="59.503753103266121"/>
    <n v="0.3388680374544355"/>
  </r>
  <r>
    <d v="2023-03-11T00:00:00"/>
    <x v="2"/>
    <n v="2023"/>
    <x v="0"/>
    <x v="0"/>
    <x v="0"/>
    <x v="1"/>
    <n v="1"/>
    <n v="4167.7224105945388"/>
    <n v="4167.7224105945388"/>
    <n v="2921.0765541335431"/>
    <n v="1246.6458564609959"/>
    <n v="0.29911921515981144"/>
  </r>
  <r>
    <d v="2023-03-13T00:00:00"/>
    <x v="2"/>
    <n v="2023"/>
    <x v="0"/>
    <x v="0"/>
    <x v="4"/>
    <x v="4"/>
    <n v="5"/>
    <n v="1545.199484082236"/>
    <n v="7725.9974204111777"/>
    <n v="5559.5305528103181"/>
    <n v="2166.46686760086"/>
    <n v="0.28041257972430966"/>
  </r>
  <r>
    <d v="2023-03-13T00:00:00"/>
    <x v="2"/>
    <n v="2023"/>
    <x v="2"/>
    <x v="0"/>
    <x v="1"/>
    <x v="1"/>
    <n v="3"/>
    <n v="419.8970385928767"/>
    <n v="1259.6911157786301"/>
    <n v="717.01737163907194"/>
    <n v="542.67374413955815"/>
    <n v="0.43079905648467248"/>
  </r>
  <r>
    <d v="2023-03-14T00:00:00"/>
    <x v="2"/>
    <n v="2023"/>
    <x v="0"/>
    <x v="0"/>
    <x v="2"/>
    <x v="3"/>
    <n v="9"/>
    <n v="3539.381470960318"/>
    <n v="31854.433238642861"/>
    <n v="21644.635609535551"/>
    <n v="10209.79762910731"/>
    <n v="0.32051418251955349"/>
  </r>
  <r>
    <d v="2023-03-14T00:00:00"/>
    <x v="2"/>
    <n v="2023"/>
    <x v="0"/>
    <x v="0"/>
    <x v="2"/>
    <x v="0"/>
    <n v="5"/>
    <n v="3942.4078213569828"/>
    <n v="19712.039106784909"/>
    <n v="10384.76150563929"/>
    <n v="9327.2776011456262"/>
    <n v="0.47317669930632217"/>
  </r>
  <r>
    <d v="2023-03-14T00:00:00"/>
    <x v="2"/>
    <n v="2023"/>
    <x v="0"/>
    <x v="0"/>
    <x v="2"/>
    <x v="3"/>
    <n v="9"/>
    <n v="497.88439167090121"/>
    <n v="4480.9595250381108"/>
    <n v="2628.5563032293489"/>
    <n v="1852.4032218087621"/>
    <n v="0.41339432134080867"/>
  </r>
  <r>
    <d v="2023-03-17T00:00:00"/>
    <x v="2"/>
    <n v="2023"/>
    <x v="0"/>
    <x v="0"/>
    <x v="0"/>
    <x v="0"/>
    <n v="1"/>
    <n v="2820.2609832602252"/>
    <n v="2820.2609832602252"/>
    <n v="1418.3973935550259"/>
    <n v="1401.863589705199"/>
    <n v="0.49706874577424498"/>
  </r>
  <r>
    <d v="2023-03-19T00:00:00"/>
    <x v="2"/>
    <n v="2023"/>
    <x v="3"/>
    <x v="1"/>
    <x v="1"/>
    <x v="3"/>
    <n v="9"/>
    <n v="790.47270576761207"/>
    <n v="7114.2543519085084"/>
    <n v="3848.3273069742718"/>
    <n v="3265.9270449342362"/>
    <n v="0.45906807423298002"/>
  </r>
  <r>
    <d v="2023-03-19T00:00:00"/>
    <x v="2"/>
    <n v="2023"/>
    <x v="1"/>
    <x v="1"/>
    <x v="0"/>
    <x v="0"/>
    <n v="5"/>
    <n v="130.04384204661659"/>
    <n v="650.219210233083"/>
    <n v="404.38283083566432"/>
    <n v="245.83637939741871"/>
    <n v="0.37808230751794331"/>
  </r>
  <r>
    <d v="2023-03-20T00:00:00"/>
    <x v="2"/>
    <n v="2023"/>
    <x v="1"/>
    <x v="1"/>
    <x v="4"/>
    <x v="0"/>
    <n v="7"/>
    <n v="508.451850872504"/>
    <n v="3559.1629561075279"/>
    <n v="1919.7180501015689"/>
    <n v="1639.444906005959"/>
    <n v="0.46062653669528381"/>
  </r>
  <r>
    <d v="2023-03-20T00:00:00"/>
    <x v="2"/>
    <n v="2023"/>
    <x v="2"/>
    <x v="0"/>
    <x v="1"/>
    <x v="0"/>
    <n v="4"/>
    <n v="362.81911713366992"/>
    <n v="1451.2764685346799"/>
    <n v="771.64283521460459"/>
    <n v="679.63363332007509"/>
    <n v="0.46830059472147673"/>
  </r>
  <r>
    <d v="2023-03-20T00:00:00"/>
    <x v="2"/>
    <n v="2023"/>
    <x v="0"/>
    <x v="0"/>
    <x v="0"/>
    <x v="1"/>
    <n v="3"/>
    <n v="573.18272553605675"/>
    <n v="1719.54817660817"/>
    <n v="1369.590170374652"/>
    <n v="349.95800623351869"/>
    <n v="0.20351741869996057"/>
  </r>
  <r>
    <d v="2023-03-22T00:00:00"/>
    <x v="2"/>
    <n v="2023"/>
    <x v="3"/>
    <x v="1"/>
    <x v="2"/>
    <x v="2"/>
    <n v="9"/>
    <n v="524.39863691138748"/>
    <n v="4719.5877322024871"/>
    <n v="3341.244233378934"/>
    <n v="1378.3434988235531"/>
    <n v="0.29204743656292248"/>
  </r>
  <r>
    <d v="2023-03-22T00:00:00"/>
    <x v="2"/>
    <n v="2023"/>
    <x v="1"/>
    <x v="1"/>
    <x v="3"/>
    <x v="3"/>
    <n v="5"/>
    <n v="742.51468524041218"/>
    <n v="3712.573426202061"/>
    <n v="2581.4380920877911"/>
    <n v="1131.1353341142701"/>
    <n v="0.30467689234941658"/>
  </r>
  <r>
    <d v="2023-03-23T00:00:00"/>
    <x v="2"/>
    <n v="2023"/>
    <x v="2"/>
    <x v="0"/>
    <x v="3"/>
    <x v="2"/>
    <n v="7"/>
    <n v="48.865955078084241"/>
    <n v="342.06168554658967"/>
    <n v="232.2191666755642"/>
    <n v="109.8425188710254"/>
    <n v="0.32111903645538392"/>
  </r>
  <r>
    <d v="2023-03-24T00:00:00"/>
    <x v="2"/>
    <n v="2023"/>
    <x v="0"/>
    <x v="0"/>
    <x v="3"/>
    <x v="1"/>
    <n v="9"/>
    <n v="3924.345401683539"/>
    <n v="35319.108615151847"/>
    <n v="20471.5283266394"/>
    <n v="14847.580288512439"/>
    <n v="0.42038377724354142"/>
  </r>
  <r>
    <d v="2023-03-25T00:00:00"/>
    <x v="2"/>
    <n v="2023"/>
    <x v="1"/>
    <x v="1"/>
    <x v="3"/>
    <x v="0"/>
    <n v="4"/>
    <n v="486.03117285290551"/>
    <n v="1944.1246914116221"/>
    <n v="1429.22281201596"/>
    <n v="514.90187939566226"/>
    <n v="0.26485023397434132"/>
  </r>
  <r>
    <d v="2023-03-25T00:00:00"/>
    <x v="2"/>
    <n v="2023"/>
    <x v="1"/>
    <x v="1"/>
    <x v="2"/>
    <x v="1"/>
    <n v="3"/>
    <n v="263.32255258620171"/>
    <n v="789.96765775860513"/>
    <n v="470.99674630139782"/>
    <n v="318.97091145720742"/>
    <n v="0.40377717786856177"/>
  </r>
  <r>
    <d v="2023-03-26T00:00:00"/>
    <x v="2"/>
    <n v="2023"/>
    <x v="4"/>
    <x v="1"/>
    <x v="3"/>
    <x v="2"/>
    <n v="6"/>
    <n v="367.71691337023861"/>
    <n v="2206.301480221432"/>
    <n v="1582.7015206165579"/>
    <n v="623.59995960487322"/>
    <n v="0.28264494458041456"/>
  </r>
  <r>
    <d v="2023-03-30T00:00:00"/>
    <x v="2"/>
    <n v="2023"/>
    <x v="0"/>
    <x v="0"/>
    <x v="0"/>
    <x v="1"/>
    <n v="2"/>
    <n v="2314.2888839798511"/>
    <n v="4628.5777679597022"/>
    <n v="2857.4567888131442"/>
    <n v="1771.1209791465581"/>
    <n v="0.38264907017588606"/>
  </r>
  <r>
    <d v="2023-03-30T00:00:00"/>
    <x v="2"/>
    <n v="2023"/>
    <x v="3"/>
    <x v="1"/>
    <x v="1"/>
    <x v="3"/>
    <n v="7"/>
    <n v="532.54683623013011"/>
    <n v="3727.827853610911"/>
    <n v="2351.147996831909"/>
    <n v="1376.679856779002"/>
    <n v="0.36929813039663278"/>
  </r>
  <r>
    <d v="2023-03-30T00:00:00"/>
    <x v="2"/>
    <n v="2023"/>
    <x v="3"/>
    <x v="1"/>
    <x v="2"/>
    <x v="0"/>
    <n v="7"/>
    <n v="459.48236333179779"/>
    <n v="3216.3765433225849"/>
    <n v="1975.2601756549179"/>
    <n v="1241.116367667667"/>
    <n v="0.38587408873016077"/>
  </r>
  <r>
    <d v="2023-03-31T00:00:00"/>
    <x v="2"/>
    <n v="2023"/>
    <x v="4"/>
    <x v="1"/>
    <x v="0"/>
    <x v="2"/>
    <n v="5"/>
    <n v="780.02794997960984"/>
    <n v="3900.1397498980491"/>
    <n v="3103.9777928454591"/>
    <n v="796.16195705258997"/>
    <n v="0.20413677665611904"/>
  </r>
  <r>
    <d v="2023-03-31T00:00:00"/>
    <x v="2"/>
    <n v="2023"/>
    <x v="3"/>
    <x v="1"/>
    <x v="4"/>
    <x v="2"/>
    <n v="2"/>
    <n v="223.34173202400439"/>
    <n v="446.68346404800877"/>
    <n v="289.81325053840482"/>
    <n v="156.8702135096041"/>
    <n v="0.35118876371197827"/>
  </r>
  <r>
    <d v="2023-04-02T00:00:00"/>
    <x v="3"/>
    <n v="2023"/>
    <x v="4"/>
    <x v="1"/>
    <x v="1"/>
    <x v="1"/>
    <n v="6"/>
    <n v="114.09597945846861"/>
    <n v="684.57587675081186"/>
    <n v="436.91934710965461"/>
    <n v="247.65652964115719"/>
    <n v="0.36176636959018216"/>
  </r>
  <r>
    <d v="2023-04-02T00:00:00"/>
    <x v="3"/>
    <n v="2023"/>
    <x v="4"/>
    <x v="1"/>
    <x v="4"/>
    <x v="1"/>
    <n v="5"/>
    <n v="83.080913961414183"/>
    <n v="415.40456980707091"/>
    <n v="261.07942196492661"/>
    <n v="154.32514784214439"/>
    <n v="0.37150565751796771"/>
  </r>
  <r>
    <d v="2023-04-03T00:00:00"/>
    <x v="3"/>
    <n v="2023"/>
    <x v="0"/>
    <x v="0"/>
    <x v="2"/>
    <x v="3"/>
    <n v="1"/>
    <n v="2249.8762911184481"/>
    <n v="2249.8762911184481"/>
    <n v="1134.837864731885"/>
    <n v="1115.0384263865631"/>
    <n v="0.49559988288612095"/>
  </r>
  <r>
    <d v="2023-04-03T00:00:00"/>
    <x v="3"/>
    <n v="2023"/>
    <x v="4"/>
    <x v="1"/>
    <x v="0"/>
    <x v="3"/>
    <n v="1"/>
    <n v="370.55839146671542"/>
    <n v="370.55839146671542"/>
    <n v="250.6328418114837"/>
    <n v="119.92554965523171"/>
    <n v="0.32363468866688383"/>
  </r>
  <r>
    <d v="2023-04-05T00:00:00"/>
    <x v="3"/>
    <n v="2023"/>
    <x v="0"/>
    <x v="0"/>
    <x v="1"/>
    <x v="0"/>
    <n v="2"/>
    <n v="665.27125625344638"/>
    <n v="1330.542512506893"/>
    <n v="957.00633028355423"/>
    <n v="373.53618222333853"/>
    <n v="0.28073975743890661"/>
  </r>
  <r>
    <d v="2023-04-06T00:00:00"/>
    <x v="3"/>
    <n v="2023"/>
    <x v="0"/>
    <x v="0"/>
    <x v="0"/>
    <x v="2"/>
    <n v="5"/>
    <n v="2007.800090752625"/>
    <n v="10039.00045376313"/>
    <n v="6845.1588580335701"/>
    <n v="3193.841595729557"/>
    <n v="0.31814338593164843"/>
  </r>
  <r>
    <d v="2023-04-09T00:00:00"/>
    <x v="3"/>
    <n v="2023"/>
    <x v="2"/>
    <x v="0"/>
    <x v="4"/>
    <x v="3"/>
    <n v="7"/>
    <n v="472.8243296282497"/>
    <n v="3309.7703073977482"/>
    <n v="2515.8721935771382"/>
    <n v="793.89811382060952"/>
    <n v="0.23986501783708331"/>
  </r>
  <r>
    <d v="2023-04-10T00:00:00"/>
    <x v="3"/>
    <n v="2023"/>
    <x v="2"/>
    <x v="0"/>
    <x v="4"/>
    <x v="3"/>
    <n v="2"/>
    <n v="617.99178545631662"/>
    <n v="1235.983570912633"/>
    <n v="673.50127892488592"/>
    <n v="562.48229198774732"/>
    <n v="0.45508880961291276"/>
  </r>
  <r>
    <d v="2023-04-10T00:00:00"/>
    <x v="3"/>
    <n v="2023"/>
    <x v="4"/>
    <x v="1"/>
    <x v="0"/>
    <x v="2"/>
    <n v="3"/>
    <n v="412.4462816924684"/>
    <n v="1237.338845077405"/>
    <n v="936.59986781364933"/>
    <n v="300.73897726375588"/>
    <n v="0.2430530476435033"/>
  </r>
  <r>
    <d v="2023-04-11T00:00:00"/>
    <x v="3"/>
    <n v="2023"/>
    <x v="0"/>
    <x v="0"/>
    <x v="2"/>
    <x v="3"/>
    <n v="8"/>
    <n v="3050.2043112264009"/>
    <n v="24401.634489811211"/>
    <n v="18015.40549606405"/>
    <n v="6386.2289937471651"/>
    <n v="0.26171316501006131"/>
  </r>
  <r>
    <d v="2023-04-11T00:00:00"/>
    <x v="3"/>
    <n v="2023"/>
    <x v="2"/>
    <x v="0"/>
    <x v="3"/>
    <x v="3"/>
    <n v="1"/>
    <n v="528.15812204907456"/>
    <n v="528.15812204907456"/>
    <n v="296.82766803536242"/>
    <n v="231.3304540137122"/>
    <n v="0.43799469203697639"/>
  </r>
  <r>
    <d v="2023-04-12T00:00:00"/>
    <x v="3"/>
    <n v="2023"/>
    <x v="4"/>
    <x v="1"/>
    <x v="0"/>
    <x v="4"/>
    <n v="5"/>
    <n v="91.43401719477464"/>
    <n v="457.1700859738732"/>
    <n v="354.39554083465902"/>
    <n v="102.7745451392142"/>
    <n v="0.2248059273613271"/>
  </r>
  <r>
    <d v="2023-04-13T00:00:00"/>
    <x v="3"/>
    <n v="2023"/>
    <x v="2"/>
    <x v="0"/>
    <x v="1"/>
    <x v="4"/>
    <n v="8"/>
    <n v="486.95361767368848"/>
    <n v="3895.6289413895079"/>
    <n v="2130.1516900258939"/>
    <n v="1765.477251363614"/>
    <n v="0.453194407867269"/>
  </r>
  <r>
    <d v="2023-04-14T00:00:00"/>
    <x v="3"/>
    <n v="2023"/>
    <x v="2"/>
    <x v="0"/>
    <x v="3"/>
    <x v="3"/>
    <n v="3"/>
    <n v="779.45779266914747"/>
    <n v="2338.3733780074431"/>
    <n v="1368.360663638925"/>
    <n v="970.01271436851721"/>
    <n v="0.41482370757876019"/>
  </r>
  <r>
    <d v="2023-04-18T00:00:00"/>
    <x v="3"/>
    <n v="2023"/>
    <x v="2"/>
    <x v="0"/>
    <x v="1"/>
    <x v="2"/>
    <n v="3"/>
    <n v="563.10524518494901"/>
    <n v="1689.3157355548469"/>
    <n v="1016.904705101782"/>
    <n v="672.41103045306522"/>
    <n v="0.39803751086958017"/>
  </r>
  <r>
    <d v="2023-04-18T00:00:00"/>
    <x v="3"/>
    <n v="2023"/>
    <x v="3"/>
    <x v="1"/>
    <x v="0"/>
    <x v="1"/>
    <n v="4"/>
    <n v="340.85604594420931"/>
    <n v="1363.424183776837"/>
    <n v="967.83165139057633"/>
    <n v="395.59253238626093"/>
    <n v="0.29014633676984186"/>
  </r>
  <r>
    <d v="2023-04-21T00:00:00"/>
    <x v="3"/>
    <n v="2023"/>
    <x v="2"/>
    <x v="0"/>
    <x v="3"/>
    <x v="0"/>
    <n v="4"/>
    <n v="736.62540736338224"/>
    <n v="2946.5016294535289"/>
    <n v="2171.6465159344611"/>
    <n v="774.85511351906825"/>
    <n v="0.26297460886277407"/>
  </r>
  <r>
    <d v="2023-04-22T00:00:00"/>
    <x v="3"/>
    <n v="2023"/>
    <x v="3"/>
    <x v="1"/>
    <x v="1"/>
    <x v="2"/>
    <n v="3"/>
    <n v="724.45782576776844"/>
    <n v="2173.3734773033052"/>
    <n v="1489.1501127638639"/>
    <n v="684.22336453944126"/>
    <n v="0.3148208863708124"/>
  </r>
  <r>
    <d v="2023-04-23T00:00:00"/>
    <x v="3"/>
    <n v="2023"/>
    <x v="4"/>
    <x v="1"/>
    <x v="4"/>
    <x v="0"/>
    <n v="6"/>
    <n v="45.779571662427742"/>
    <n v="274.67742997456651"/>
    <n v="165.7737000571089"/>
    <n v="108.9037299174576"/>
    <n v="0.39647862559199504"/>
  </r>
  <r>
    <d v="2023-04-24T00:00:00"/>
    <x v="3"/>
    <n v="2023"/>
    <x v="4"/>
    <x v="1"/>
    <x v="2"/>
    <x v="2"/>
    <n v="8"/>
    <n v="694.39489204492861"/>
    <n v="5555.1591363594289"/>
    <n v="4058.3537789707589"/>
    <n v="1496.80535738867"/>
    <n v="0.26944419064286262"/>
  </r>
  <r>
    <d v="2023-04-25T00:00:00"/>
    <x v="3"/>
    <n v="2023"/>
    <x v="0"/>
    <x v="0"/>
    <x v="2"/>
    <x v="2"/>
    <n v="9"/>
    <n v="1326.5440428943509"/>
    <n v="11938.89638604916"/>
    <n v="6468.5755117611934"/>
    <n v="5470.3208742879688"/>
    <n v="0.45819317777815277"/>
  </r>
  <r>
    <d v="2023-04-26T00:00:00"/>
    <x v="3"/>
    <n v="2023"/>
    <x v="4"/>
    <x v="1"/>
    <x v="4"/>
    <x v="2"/>
    <n v="2"/>
    <n v="660.72376784769585"/>
    <n v="1321.4475356953919"/>
    <n v="677.05031635213084"/>
    <n v="644.39721934326087"/>
    <n v="0.48764495141621833"/>
  </r>
  <r>
    <d v="2023-05-03T00:00:00"/>
    <x v="4"/>
    <n v="2023"/>
    <x v="2"/>
    <x v="0"/>
    <x v="1"/>
    <x v="3"/>
    <n v="3"/>
    <n v="765.40816861920769"/>
    <n v="2296.2245058576232"/>
    <n v="1742.003821511282"/>
    <n v="554.2206843463407"/>
    <n v="0.24136171482036478"/>
  </r>
  <r>
    <d v="2023-05-06T00:00:00"/>
    <x v="4"/>
    <n v="2023"/>
    <x v="4"/>
    <x v="1"/>
    <x v="1"/>
    <x v="0"/>
    <n v="6"/>
    <n v="208.8031117789703"/>
    <n v="1252.818670673822"/>
    <n v="879.0285242410074"/>
    <n v="373.79014643281459"/>
    <n v="0.29835933577823637"/>
  </r>
  <r>
    <d v="2023-05-09T00:00:00"/>
    <x v="4"/>
    <n v="2023"/>
    <x v="1"/>
    <x v="1"/>
    <x v="0"/>
    <x v="3"/>
    <n v="9"/>
    <n v="183.07586417541671"/>
    <n v="1647.6827775787499"/>
    <n v="1091.4817392185521"/>
    <n v="556.20103836019803"/>
    <n v="0.33756560785173029"/>
  </r>
  <r>
    <d v="2023-05-09T00:00:00"/>
    <x v="4"/>
    <n v="2023"/>
    <x v="4"/>
    <x v="1"/>
    <x v="4"/>
    <x v="3"/>
    <n v="2"/>
    <n v="207.0341401427745"/>
    <n v="414.06828028554912"/>
    <n v="218.69512567938659"/>
    <n v="195.37315460616239"/>
    <n v="0.47183801297561229"/>
  </r>
  <r>
    <d v="2023-05-10T00:00:00"/>
    <x v="4"/>
    <n v="2023"/>
    <x v="2"/>
    <x v="0"/>
    <x v="1"/>
    <x v="3"/>
    <n v="2"/>
    <n v="49.972552190613499"/>
    <n v="99.945104381226997"/>
    <n v="77.010561119912936"/>
    <n v="22.934543261314062"/>
    <n v="0.22947140235937288"/>
  </r>
  <r>
    <d v="2023-05-11T00:00:00"/>
    <x v="4"/>
    <n v="2023"/>
    <x v="3"/>
    <x v="1"/>
    <x v="3"/>
    <x v="1"/>
    <n v="9"/>
    <n v="70.740242528518024"/>
    <n v="636.66218275666222"/>
    <n v="499.56695257851169"/>
    <n v="137.0952301781505"/>
    <n v="0.21533433882399999"/>
  </r>
  <r>
    <d v="2023-05-14T00:00:00"/>
    <x v="4"/>
    <n v="2023"/>
    <x v="0"/>
    <x v="0"/>
    <x v="3"/>
    <x v="3"/>
    <n v="2"/>
    <n v="2805.976320418953"/>
    <n v="5611.9526408379052"/>
    <n v="3768.3353230810708"/>
    <n v="1843.6173177568339"/>
    <n v="0.32851619315903002"/>
  </r>
  <r>
    <d v="2023-05-14T00:00:00"/>
    <x v="4"/>
    <n v="2023"/>
    <x v="1"/>
    <x v="1"/>
    <x v="4"/>
    <x v="0"/>
    <n v="9"/>
    <n v="405.53360310785172"/>
    <n v="3649.802427970666"/>
    <n v="2452.624578011666"/>
    <n v="1197.177849959"/>
    <n v="0.32801168654617979"/>
  </r>
  <r>
    <d v="2023-05-14T00:00:00"/>
    <x v="4"/>
    <n v="2023"/>
    <x v="1"/>
    <x v="1"/>
    <x v="0"/>
    <x v="3"/>
    <n v="5"/>
    <n v="37.857183481373802"/>
    <n v="189.285917406869"/>
    <n v="103.3761083596256"/>
    <n v="85.909809047243385"/>
    <n v="0.45386265509959062"/>
  </r>
  <r>
    <d v="2023-05-16T00:00:00"/>
    <x v="4"/>
    <n v="2023"/>
    <x v="2"/>
    <x v="0"/>
    <x v="3"/>
    <x v="1"/>
    <n v="7"/>
    <n v="331.46641433126041"/>
    <n v="2320.264900318823"/>
    <n v="1266.226107952539"/>
    <n v="1054.0387923662829"/>
    <n v="0.45427519600087451"/>
  </r>
  <r>
    <d v="2023-05-16T00:00:00"/>
    <x v="4"/>
    <n v="2023"/>
    <x v="3"/>
    <x v="1"/>
    <x v="1"/>
    <x v="0"/>
    <n v="2"/>
    <n v="29.518396408074722"/>
    <n v="59.036792816149443"/>
    <n v="40.117437737091663"/>
    <n v="18.91935507905778"/>
    <n v="0.32046718963843196"/>
  </r>
  <r>
    <d v="2023-05-17T00:00:00"/>
    <x v="4"/>
    <n v="2023"/>
    <x v="4"/>
    <x v="1"/>
    <x v="0"/>
    <x v="4"/>
    <n v="3"/>
    <n v="742.63055039997471"/>
    <n v="2227.8916511999241"/>
    <n v="1596.2375048859919"/>
    <n v="631.65414631393219"/>
    <n v="0.28352103477461682"/>
  </r>
  <r>
    <d v="2023-05-18T00:00:00"/>
    <x v="4"/>
    <n v="2023"/>
    <x v="0"/>
    <x v="0"/>
    <x v="4"/>
    <x v="3"/>
    <n v="4"/>
    <n v="2322.721993379394"/>
    <n v="9290.8879735175742"/>
    <n v="7377.0558469713769"/>
    <n v="1913.8321265461971"/>
    <n v="0.20599022741435674"/>
  </r>
  <r>
    <d v="2023-05-21T00:00:00"/>
    <x v="4"/>
    <n v="2023"/>
    <x v="4"/>
    <x v="1"/>
    <x v="0"/>
    <x v="2"/>
    <n v="4"/>
    <n v="112.6779746890961"/>
    <n v="450.71189875638441"/>
    <n v="241.2470927297783"/>
    <n v="209.46480602660611"/>
    <n v="0.46474212596686854"/>
  </r>
  <r>
    <d v="2023-05-22T00:00:00"/>
    <x v="4"/>
    <n v="2023"/>
    <x v="4"/>
    <x v="1"/>
    <x v="0"/>
    <x v="2"/>
    <n v="5"/>
    <n v="52.832687916362268"/>
    <n v="264.16343958181142"/>
    <n v="133.4982118143175"/>
    <n v="130.66522776749389"/>
    <n v="0.49463781957997588"/>
  </r>
  <r>
    <d v="2023-05-22T00:00:00"/>
    <x v="4"/>
    <n v="2023"/>
    <x v="2"/>
    <x v="0"/>
    <x v="3"/>
    <x v="0"/>
    <n v="2"/>
    <n v="93.305913075877825"/>
    <n v="186.61182615175571"/>
    <n v="125.68008701745509"/>
    <n v="60.931739134300599"/>
    <n v="0.32651595770114772"/>
  </r>
  <r>
    <d v="2023-05-25T00:00:00"/>
    <x v="4"/>
    <n v="2023"/>
    <x v="0"/>
    <x v="0"/>
    <x v="2"/>
    <x v="1"/>
    <n v="4"/>
    <n v="3033.7703160153278"/>
    <n v="12135.081264061309"/>
    <n v="7053.9685353425284"/>
    <n v="5081.1127287187837"/>
    <n v="0.41871270724546117"/>
  </r>
  <r>
    <d v="2023-05-25T00:00:00"/>
    <x v="4"/>
    <n v="2023"/>
    <x v="0"/>
    <x v="0"/>
    <x v="4"/>
    <x v="1"/>
    <n v="8"/>
    <n v="1183.6756850777419"/>
    <n v="9469.4054806219356"/>
    <n v="6276.8408114333042"/>
    <n v="3192.5646691886309"/>
    <n v="0.33714520681597726"/>
  </r>
  <r>
    <d v="2023-05-26T00:00:00"/>
    <x v="4"/>
    <n v="2023"/>
    <x v="3"/>
    <x v="1"/>
    <x v="4"/>
    <x v="0"/>
    <n v="9"/>
    <n v="233.7630721360207"/>
    <n v="2103.8676492241862"/>
    <n v="1401.70897603349"/>
    <n v="702.15867319069571"/>
    <n v="0.3337465992452619"/>
  </r>
  <r>
    <d v="2023-05-30T00:00:00"/>
    <x v="4"/>
    <n v="2023"/>
    <x v="3"/>
    <x v="1"/>
    <x v="0"/>
    <x v="4"/>
    <n v="8"/>
    <n v="719.47703120861161"/>
    <n v="5755.8162496688929"/>
    <n v="3016.4513339497712"/>
    <n v="2739.3649157191221"/>
    <n v="0.47592987630150735"/>
  </r>
  <r>
    <d v="2023-05-30T00:00:00"/>
    <x v="4"/>
    <n v="2023"/>
    <x v="3"/>
    <x v="1"/>
    <x v="3"/>
    <x v="0"/>
    <n v="7"/>
    <n v="446.42398191697458"/>
    <n v="3124.9678734188219"/>
    <n v="1779.9321038179739"/>
    <n v="1345.035769600848"/>
    <n v="0.43041587116520746"/>
  </r>
  <r>
    <d v="2023-06-01T00:00:00"/>
    <x v="5"/>
    <n v="2023"/>
    <x v="1"/>
    <x v="1"/>
    <x v="2"/>
    <x v="0"/>
    <n v="1"/>
    <n v="70.615952745005615"/>
    <n v="70.615952745005615"/>
    <n v="40.687120033987682"/>
    <n v="29.92883271101794"/>
    <n v="0.42382537581969659"/>
  </r>
  <r>
    <d v="2023-06-02T00:00:00"/>
    <x v="5"/>
    <n v="2023"/>
    <x v="4"/>
    <x v="1"/>
    <x v="0"/>
    <x v="1"/>
    <n v="6"/>
    <n v="126.7707914536697"/>
    <n v="760.62474872201801"/>
    <n v="585.68531035126307"/>
    <n v="174.93943837075491"/>
    <n v="0.22999440744556843"/>
  </r>
  <r>
    <d v="2023-06-03T00:00:00"/>
    <x v="5"/>
    <n v="2023"/>
    <x v="1"/>
    <x v="1"/>
    <x v="3"/>
    <x v="4"/>
    <n v="7"/>
    <n v="419.10840485021959"/>
    <n v="2933.7588339515369"/>
    <n v="1935.2072083943269"/>
    <n v="998.55162555721017"/>
    <n v="0.34036595442040529"/>
  </r>
  <r>
    <d v="2023-06-04T00:00:00"/>
    <x v="5"/>
    <n v="2023"/>
    <x v="3"/>
    <x v="1"/>
    <x v="4"/>
    <x v="1"/>
    <n v="3"/>
    <n v="51.877520687853512"/>
    <n v="155.6325620635605"/>
    <n v="85.70382003826731"/>
    <n v="69.928742025293218"/>
    <n v="0.44931948107835074"/>
  </r>
  <r>
    <d v="2023-06-06T00:00:00"/>
    <x v="5"/>
    <n v="2023"/>
    <x v="1"/>
    <x v="1"/>
    <x v="0"/>
    <x v="2"/>
    <n v="4"/>
    <n v="530.51874713928555"/>
    <n v="2122.0749885571422"/>
    <n v="1235.000656566928"/>
    <n v="887.07433199021466"/>
    <n v="0.41802214190053727"/>
  </r>
  <r>
    <d v="2023-06-07T00:00:00"/>
    <x v="5"/>
    <n v="2023"/>
    <x v="3"/>
    <x v="1"/>
    <x v="1"/>
    <x v="4"/>
    <n v="9"/>
    <n v="763.39604067868345"/>
    <n v="6870.5643661081513"/>
    <n v="4117.014560258669"/>
    <n v="2753.5498058494818"/>
    <n v="0.4007749085988459"/>
  </r>
  <r>
    <d v="2023-06-07T00:00:00"/>
    <x v="5"/>
    <n v="2023"/>
    <x v="4"/>
    <x v="1"/>
    <x v="4"/>
    <x v="3"/>
    <n v="4"/>
    <n v="662.07573216461503"/>
    <n v="2648.3029286584601"/>
    <n v="1739.257885259437"/>
    <n v="909.04504339902337"/>
    <n v="0.34325568784516453"/>
  </r>
  <r>
    <d v="2023-06-09T00:00:00"/>
    <x v="5"/>
    <n v="2023"/>
    <x v="1"/>
    <x v="1"/>
    <x v="1"/>
    <x v="2"/>
    <n v="4"/>
    <n v="453.82175333101043"/>
    <n v="1815.2870133240419"/>
    <n v="1319.6968511900579"/>
    <n v="495.59016213398382"/>
    <n v="0.27300925886451949"/>
  </r>
  <r>
    <d v="2023-06-09T00:00:00"/>
    <x v="5"/>
    <n v="2023"/>
    <x v="3"/>
    <x v="1"/>
    <x v="3"/>
    <x v="2"/>
    <n v="7"/>
    <n v="138.5793854403455"/>
    <n v="970.05569808241853"/>
    <n v="502.88161564738982"/>
    <n v="467.17408243502871"/>
    <n v="0.4815951118667996"/>
  </r>
  <r>
    <d v="2023-06-09T00:00:00"/>
    <x v="5"/>
    <n v="2023"/>
    <x v="2"/>
    <x v="0"/>
    <x v="2"/>
    <x v="4"/>
    <n v="1"/>
    <n v="447.40840139948051"/>
    <n v="447.40840139948051"/>
    <n v="284.69187176602901"/>
    <n v="162.7165296334515"/>
    <n v="0.36368679963201161"/>
  </r>
  <r>
    <d v="2023-06-10T00:00:00"/>
    <x v="5"/>
    <n v="2023"/>
    <x v="1"/>
    <x v="1"/>
    <x v="4"/>
    <x v="3"/>
    <n v="6"/>
    <n v="562.90324140647897"/>
    <n v="3377.419448438874"/>
    <n v="2266.3104290173301"/>
    <n v="1111.109019421544"/>
    <n v="0.32898164897319038"/>
  </r>
  <r>
    <d v="2023-06-11T00:00:00"/>
    <x v="5"/>
    <n v="2023"/>
    <x v="2"/>
    <x v="0"/>
    <x v="2"/>
    <x v="0"/>
    <n v="2"/>
    <n v="696.25513280898838"/>
    <n v="1392.510265617977"/>
    <n v="866.69191221154324"/>
    <n v="525.81835340643352"/>
    <n v="0.3776046513905465"/>
  </r>
  <r>
    <d v="2023-06-12T00:00:00"/>
    <x v="5"/>
    <n v="2023"/>
    <x v="3"/>
    <x v="1"/>
    <x v="3"/>
    <x v="4"/>
    <n v="2"/>
    <n v="775.54851629982522"/>
    <n v="1551.09703259965"/>
    <n v="1095.7089084364279"/>
    <n v="455.38812416322207"/>
    <n v="0.29359099694748836"/>
  </r>
  <r>
    <d v="2023-06-13T00:00:00"/>
    <x v="5"/>
    <n v="2023"/>
    <x v="0"/>
    <x v="0"/>
    <x v="3"/>
    <x v="4"/>
    <n v="6"/>
    <n v="2406.4494908855431"/>
    <n v="14438.696945313261"/>
    <n v="10094.112521060881"/>
    <n v="4344.5844242523817"/>
    <n v="0.3008986503912055"/>
  </r>
  <r>
    <d v="2023-06-13T00:00:00"/>
    <x v="5"/>
    <n v="2023"/>
    <x v="3"/>
    <x v="1"/>
    <x v="3"/>
    <x v="2"/>
    <n v="3"/>
    <n v="364.77901155062892"/>
    <n v="1094.3370346518871"/>
    <n v="655.7998626133699"/>
    <n v="438.5371720385167"/>
    <n v="0.40073319110324829"/>
  </r>
  <r>
    <d v="2023-06-15T00:00:00"/>
    <x v="5"/>
    <n v="2023"/>
    <x v="0"/>
    <x v="0"/>
    <x v="0"/>
    <x v="2"/>
    <n v="3"/>
    <n v="3503.3272638926442"/>
    <n v="10509.98179167793"/>
    <n v="7766.2620538143183"/>
    <n v="2743.7197378636138"/>
    <n v="0.26105846729783688"/>
  </r>
  <r>
    <d v="2023-06-22T00:00:00"/>
    <x v="5"/>
    <n v="2023"/>
    <x v="2"/>
    <x v="0"/>
    <x v="1"/>
    <x v="2"/>
    <n v="6"/>
    <n v="574.54293349266368"/>
    <n v="3447.2576009559821"/>
    <n v="1929.9543319911099"/>
    <n v="1517.3032689648719"/>
    <n v="0.44014792179850393"/>
  </r>
  <r>
    <d v="2023-06-22T00:00:00"/>
    <x v="5"/>
    <n v="2023"/>
    <x v="4"/>
    <x v="1"/>
    <x v="3"/>
    <x v="1"/>
    <n v="7"/>
    <n v="517.62846051877216"/>
    <n v="3623.3992236314052"/>
    <n v="2371.7052054821288"/>
    <n v="1251.694018149276"/>
    <n v="0.34544744889988033"/>
  </r>
  <r>
    <d v="2023-06-24T00:00:00"/>
    <x v="5"/>
    <n v="2023"/>
    <x v="4"/>
    <x v="1"/>
    <x v="4"/>
    <x v="0"/>
    <n v="1"/>
    <n v="332.59518748275428"/>
    <n v="332.59518748275428"/>
    <n v="222.13769801568739"/>
    <n v="110.45748946706691"/>
    <n v="0.33210790060753465"/>
  </r>
  <r>
    <d v="2023-06-26T00:00:00"/>
    <x v="5"/>
    <n v="2023"/>
    <x v="2"/>
    <x v="0"/>
    <x v="0"/>
    <x v="1"/>
    <n v="9"/>
    <n v="680.77165239456008"/>
    <n v="6126.9448715510407"/>
    <n v="3715.8177967532438"/>
    <n v="2411.1270747977969"/>
    <n v="0.39352844286118382"/>
  </r>
  <r>
    <d v="2023-06-27T00:00:00"/>
    <x v="5"/>
    <n v="2023"/>
    <x v="3"/>
    <x v="1"/>
    <x v="0"/>
    <x v="1"/>
    <n v="3"/>
    <n v="306.85229368428588"/>
    <n v="920.55688105285765"/>
    <n v="574.64743852819504"/>
    <n v="345.90944252466261"/>
    <n v="0.37576107424132194"/>
  </r>
  <r>
    <d v="2023-06-27T00:00:00"/>
    <x v="5"/>
    <n v="2023"/>
    <x v="4"/>
    <x v="1"/>
    <x v="2"/>
    <x v="4"/>
    <n v="3"/>
    <n v="195.0636460325953"/>
    <n v="585.19093809778599"/>
    <n v="331.88828104315093"/>
    <n v="253.30265705463509"/>
    <n v="0.43285471555321309"/>
  </r>
  <r>
    <d v="2023-06-29T00:00:00"/>
    <x v="5"/>
    <n v="2023"/>
    <x v="4"/>
    <x v="1"/>
    <x v="3"/>
    <x v="0"/>
    <n v="5"/>
    <n v="427.34974284274739"/>
    <n v="2136.748714213737"/>
    <n v="1561.959177467766"/>
    <n v="574.78953674597142"/>
    <n v="0.26900193407041673"/>
  </r>
  <r>
    <d v="2023-06-29T00:00:00"/>
    <x v="5"/>
    <n v="2023"/>
    <x v="3"/>
    <x v="1"/>
    <x v="2"/>
    <x v="3"/>
    <n v="6"/>
    <n v="191.67582698325569"/>
    <n v="1150.054961899534"/>
    <n v="648.40585834946069"/>
    <n v="501.64910355007351"/>
    <n v="0.43619576469763222"/>
  </r>
  <r>
    <d v="2023-06-30T00:00:00"/>
    <x v="5"/>
    <n v="2023"/>
    <x v="2"/>
    <x v="0"/>
    <x v="4"/>
    <x v="4"/>
    <n v="4"/>
    <n v="641.29908696141752"/>
    <n v="2565.1963478456701"/>
    <n v="1653.157987174651"/>
    <n v="912.03836067101906"/>
    <n v="0.3555432945462349"/>
  </r>
  <r>
    <d v="2023-07-01T00:00:00"/>
    <x v="6"/>
    <n v="2023"/>
    <x v="0"/>
    <x v="0"/>
    <x v="2"/>
    <x v="4"/>
    <n v="8"/>
    <n v="3059.07724928158"/>
    <n v="24472.61799425264"/>
    <n v="15021.09003501615"/>
    <n v="9451.5279592364968"/>
    <n v="0.38620829048433541"/>
  </r>
  <r>
    <d v="2023-07-02T00:00:00"/>
    <x v="6"/>
    <n v="2023"/>
    <x v="2"/>
    <x v="0"/>
    <x v="2"/>
    <x v="0"/>
    <n v="6"/>
    <n v="268.62695228701449"/>
    <n v="1611.7617137220871"/>
    <n v="1108.517184108041"/>
    <n v="503.24452961404648"/>
    <n v="0.31223258706889717"/>
  </r>
  <r>
    <d v="2023-07-07T00:00:00"/>
    <x v="6"/>
    <n v="2023"/>
    <x v="3"/>
    <x v="1"/>
    <x v="3"/>
    <x v="1"/>
    <n v="9"/>
    <n v="42.812880766956127"/>
    <n v="385.31592690260521"/>
    <n v="288.11806745997029"/>
    <n v="97.197859442634865"/>
    <n v="0.25225497483057113"/>
  </r>
  <r>
    <d v="2023-07-09T00:00:00"/>
    <x v="6"/>
    <n v="2023"/>
    <x v="4"/>
    <x v="1"/>
    <x v="4"/>
    <x v="0"/>
    <n v="6"/>
    <n v="595.66622081256889"/>
    <n v="3573.9973248754131"/>
    <n v="1875.775327738002"/>
    <n v="1698.221997137412"/>
    <n v="0.47516039962246215"/>
  </r>
  <r>
    <d v="2023-07-12T00:00:00"/>
    <x v="6"/>
    <n v="2023"/>
    <x v="4"/>
    <x v="1"/>
    <x v="3"/>
    <x v="2"/>
    <n v="2"/>
    <n v="792.31573074550465"/>
    <n v="1584.6314614910091"/>
    <n v="1113.703833650547"/>
    <n v="470.92762784046198"/>
    <n v="0.29718432284397373"/>
  </r>
  <r>
    <d v="2023-07-15T00:00:00"/>
    <x v="6"/>
    <n v="2023"/>
    <x v="4"/>
    <x v="1"/>
    <x v="3"/>
    <x v="4"/>
    <n v="6"/>
    <n v="461.92878249370648"/>
    <n v="2771.572694962239"/>
    <n v="1710.9273808775069"/>
    <n v="1060.645314084732"/>
    <n v="0.38268717108254768"/>
  </r>
  <r>
    <d v="2023-07-17T00:00:00"/>
    <x v="6"/>
    <n v="2023"/>
    <x v="1"/>
    <x v="1"/>
    <x v="1"/>
    <x v="2"/>
    <n v="9"/>
    <n v="599.81520185702686"/>
    <n v="5398.3368167132421"/>
    <n v="2804.4139664258742"/>
    <n v="2593.922850287368"/>
    <n v="0.48050407715513171"/>
  </r>
  <r>
    <d v="2023-07-17T00:00:00"/>
    <x v="6"/>
    <n v="2023"/>
    <x v="1"/>
    <x v="1"/>
    <x v="3"/>
    <x v="2"/>
    <n v="4"/>
    <n v="639.33964763083088"/>
    <n v="2557.358590523324"/>
    <n v="1754.403811998639"/>
    <n v="802.95477852468503"/>
    <n v="0.31397817322144594"/>
  </r>
  <r>
    <d v="2023-07-18T00:00:00"/>
    <x v="6"/>
    <n v="2023"/>
    <x v="2"/>
    <x v="0"/>
    <x v="2"/>
    <x v="3"/>
    <n v="8"/>
    <n v="321.65357011441921"/>
    <n v="2573.2285609153528"/>
    <n v="2009.740388722661"/>
    <n v="563.48817219269176"/>
    <n v="0.21898100337897963"/>
  </r>
  <r>
    <d v="2023-07-22T00:00:00"/>
    <x v="6"/>
    <n v="2023"/>
    <x v="1"/>
    <x v="1"/>
    <x v="2"/>
    <x v="1"/>
    <n v="4"/>
    <n v="787.07004989797747"/>
    <n v="3148.2801995919099"/>
    <n v="1950.8234283743959"/>
    <n v="1197.456771217514"/>
    <n v="0.38035266726663408"/>
  </r>
  <r>
    <d v="2023-07-23T00:00:00"/>
    <x v="6"/>
    <n v="2023"/>
    <x v="3"/>
    <x v="1"/>
    <x v="2"/>
    <x v="3"/>
    <n v="8"/>
    <n v="648.42271930104152"/>
    <n v="5187.3817544083322"/>
    <n v="3504.6278421246661"/>
    <n v="1682.753912283667"/>
    <n v="0.32439369068097446"/>
  </r>
  <r>
    <d v="2023-07-23T00:00:00"/>
    <x v="6"/>
    <n v="2023"/>
    <x v="2"/>
    <x v="0"/>
    <x v="3"/>
    <x v="4"/>
    <n v="4"/>
    <n v="611.44529282463759"/>
    <n v="2445.7811712985499"/>
    <n v="1240.930850849843"/>
    <n v="1204.850320448707"/>
    <n v="0.49262392506235958"/>
  </r>
  <r>
    <d v="2023-07-25T00:00:00"/>
    <x v="6"/>
    <n v="2023"/>
    <x v="0"/>
    <x v="0"/>
    <x v="0"/>
    <x v="0"/>
    <n v="4"/>
    <n v="2814.1427292868302"/>
    <n v="11256.570917147321"/>
    <n v="6389.9280409980838"/>
    <n v="4866.6428761492352"/>
    <n v="0.43233795726687935"/>
  </r>
  <r>
    <d v="2023-07-25T00:00:00"/>
    <x v="6"/>
    <n v="2023"/>
    <x v="2"/>
    <x v="0"/>
    <x v="4"/>
    <x v="2"/>
    <n v="9"/>
    <n v="468.62741338736743"/>
    <n v="4217.6467204863065"/>
    <n v="2715.3476649625418"/>
    <n v="1502.299055523765"/>
    <n v="0.35619366795864443"/>
  </r>
  <r>
    <d v="2023-07-26T00:00:00"/>
    <x v="6"/>
    <n v="2023"/>
    <x v="0"/>
    <x v="0"/>
    <x v="0"/>
    <x v="3"/>
    <n v="5"/>
    <n v="3649.4868953432251"/>
    <n v="18247.43447671612"/>
    <n v="13189.46381266599"/>
    <n v="5057.9706640501317"/>
    <n v="0.27718804364000565"/>
  </r>
  <r>
    <d v="2023-07-26T00:00:00"/>
    <x v="6"/>
    <n v="2023"/>
    <x v="2"/>
    <x v="0"/>
    <x v="3"/>
    <x v="1"/>
    <n v="4"/>
    <n v="230.40469698325191"/>
    <n v="921.61878793300764"/>
    <n v="476.59308970128592"/>
    <n v="445.02569823172172"/>
    <n v="0.48287394317320559"/>
  </r>
  <r>
    <d v="2023-07-28T00:00:00"/>
    <x v="6"/>
    <n v="2023"/>
    <x v="3"/>
    <x v="1"/>
    <x v="4"/>
    <x v="2"/>
    <n v="6"/>
    <n v="247.49681139325651"/>
    <n v="1484.980868359539"/>
    <n v="1052.100875606073"/>
    <n v="432.87999275346652"/>
    <n v="0.29150543416203728"/>
  </r>
  <r>
    <d v="2023-08-01T00:00:00"/>
    <x v="7"/>
    <n v="2023"/>
    <x v="4"/>
    <x v="1"/>
    <x v="4"/>
    <x v="1"/>
    <n v="5"/>
    <n v="175.10789666473079"/>
    <n v="875.53948332365405"/>
    <n v="454.7420780072614"/>
    <n v="420.79740531639271"/>
    <n v="0.48061499604677421"/>
  </r>
  <r>
    <d v="2023-08-01T00:00:00"/>
    <x v="7"/>
    <n v="2023"/>
    <x v="3"/>
    <x v="1"/>
    <x v="1"/>
    <x v="4"/>
    <n v="4"/>
    <n v="266.63333419126582"/>
    <n v="1066.533336765063"/>
    <n v="721.50127297559095"/>
    <n v="345.03206378947232"/>
    <n v="0.32350799726148299"/>
  </r>
  <r>
    <d v="2023-08-02T00:00:00"/>
    <x v="7"/>
    <n v="2023"/>
    <x v="1"/>
    <x v="1"/>
    <x v="1"/>
    <x v="3"/>
    <n v="4"/>
    <n v="648.83699823858785"/>
    <n v="2595.347992954351"/>
    <n v="1880.2722821709369"/>
    <n v="715.07571078341402"/>
    <n v="0.27552209288490254"/>
  </r>
  <r>
    <d v="2023-08-03T00:00:00"/>
    <x v="7"/>
    <n v="2023"/>
    <x v="1"/>
    <x v="1"/>
    <x v="3"/>
    <x v="1"/>
    <n v="4"/>
    <n v="131.43611797911379"/>
    <n v="525.74447191645527"/>
    <n v="365.53254090432841"/>
    <n v="160.21193101212691"/>
    <n v="0.30473345811534425"/>
  </r>
  <r>
    <d v="2023-08-04T00:00:00"/>
    <x v="7"/>
    <n v="2023"/>
    <x v="3"/>
    <x v="1"/>
    <x v="3"/>
    <x v="0"/>
    <n v="8"/>
    <n v="234.28299853224999"/>
    <n v="1874.2639882579999"/>
    <n v="1252.707496642869"/>
    <n v="621.55649161513134"/>
    <n v="0.33162697224568966"/>
  </r>
  <r>
    <d v="2023-08-05T00:00:00"/>
    <x v="7"/>
    <n v="2023"/>
    <x v="2"/>
    <x v="0"/>
    <x v="0"/>
    <x v="0"/>
    <n v="9"/>
    <n v="251.09333444918431"/>
    <n v="2259.8400100426579"/>
    <n v="1241.963057390886"/>
    <n v="1017.876952651773"/>
    <n v="0.45041991828109945"/>
  </r>
  <r>
    <d v="2023-08-08T00:00:00"/>
    <x v="7"/>
    <n v="2023"/>
    <x v="0"/>
    <x v="0"/>
    <x v="4"/>
    <x v="3"/>
    <n v="8"/>
    <n v="2084.590925543188"/>
    <n v="16676.727404345511"/>
    <n v="12540.20510378278"/>
    <n v="4136.5223005627249"/>
    <n v="0.24804160913998374"/>
  </r>
  <r>
    <d v="2023-08-08T00:00:00"/>
    <x v="7"/>
    <n v="2023"/>
    <x v="3"/>
    <x v="1"/>
    <x v="2"/>
    <x v="0"/>
    <n v="5"/>
    <n v="389.85558668811359"/>
    <n v="1949.2779334405679"/>
    <n v="1031.8507578683871"/>
    <n v="917.42717557218111"/>
    <n v="0.47064975180469965"/>
  </r>
  <r>
    <d v="2023-08-09T00:00:00"/>
    <x v="7"/>
    <n v="2023"/>
    <x v="3"/>
    <x v="1"/>
    <x v="3"/>
    <x v="0"/>
    <n v="2"/>
    <n v="36.271688647399714"/>
    <n v="72.543377294799427"/>
    <n v="50.488660350581753"/>
    <n v="22.054716944217681"/>
    <n v="0.30402109422880103"/>
  </r>
  <r>
    <d v="2023-08-11T00:00:00"/>
    <x v="7"/>
    <n v="2023"/>
    <x v="0"/>
    <x v="0"/>
    <x v="4"/>
    <x v="0"/>
    <n v="8"/>
    <n v="4739.3847900236406"/>
    <n v="37915.078320189132"/>
    <n v="26070.081709891889"/>
    <n v="11844.996610297239"/>
    <n v="0.3124086019358156"/>
  </r>
  <r>
    <d v="2023-08-12T00:00:00"/>
    <x v="7"/>
    <n v="2023"/>
    <x v="3"/>
    <x v="1"/>
    <x v="0"/>
    <x v="3"/>
    <n v="7"/>
    <n v="605.67943287736796"/>
    <n v="4239.756030141576"/>
    <n v="3079.6013251910549"/>
    <n v="1160.1547049505209"/>
    <n v="0.27363713777459514"/>
  </r>
  <r>
    <d v="2023-08-14T00:00:00"/>
    <x v="7"/>
    <n v="2023"/>
    <x v="0"/>
    <x v="0"/>
    <x v="4"/>
    <x v="3"/>
    <n v="1"/>
    <n v="4788.4878017674619"/>
    <n v="4788.4878017674619"/>
    <n v="3581.1266697017918"/>
    <n v="1207.3611320656701"/>
    <n v="0.25213829126181031"/>
  </r>
  <r>
    <d v="2023-08-14T00:00:00"/>
    <x v="7"/>
    <n v="2023"/>
    <x v="4"/>
    <x v="1"/>
    <x v="4"/>
    <x v="2"/>
    <n v="3"/>
    <n v="725.24378170512375"/>
    <n v="2175.7313451153709"/>
    <n v="1315.1787732708019"/>
    <n v="860.55257184456968"/>
    <n v="0.39552335989301002"/>
  </r>
  <r>
    <d v="2023-08-15T00:00:00"/>
    <x v="7"/>
    <n v="2023"/>
    <x v="3"/>
    <x v="1"/>
    <x v="3"/>
    <x v="3"/>
    <n v="5"/>
    <n v="457.79621410420708"/>
    <n v="2288.9810705210348"/>
    <n v="1673.90931953321"/>
    <n v="615.07175098782523"/>
    <n v="0.26870984601363174"/>
  </r>
  <r>
    <d v="2023-08-19T00:00:00"/>
    <x v="7"/>
    <n v="2023"/>
    <x v="0"/>
    <x v="0"/>
    <x v="1"/>
    <x v="0"/>
    <n v="6"/>
    <n v="838.55490206395245"/>
    <n v="5031.329412383715"/>
    <n v="2610.9214064873249"/>
    <n v="2420.40800589639"/>
    <n v="0.48106729007625498"/>
  </r>
  <r>
    <d v="2023-08-19T00:00:00"/>
    <x v="7"/>
    <n v="2023"/>
    <x v="1"/>
    <x v="1"/>
    <x v="0"/>
    <x v="1"/>
    <n v="6"/>
    <n v="606.87443363028171"/>
    <n v="3641.246601781691"/>
    <n v="2592.9103614994842"/>
    <n v="1048.3362402822061"/>
    <n v="0.28790586162696225"/>
  </r>
  <r>
    <d v="2023-08-20T00:00:00"/>
    <x v="7"/>
    <n v="2023"/>
    <x v="1"/>
    <x v="1"/>
    <x v="2"/>
    <x v="1"/>
    <n v="4"/>
    <n v="690.46088068461768"/>
    <n v="2761.8435227384712"/>
    <n v="1706.040778819234"/>
    <n v="1055.8027439192369"/>
    <n v="0.38228188354145748"/>
  </r>
  <r>
    <d v="2023-08-21T00:00:00"/>
    <x v="7"/>
    <n v="2023"/>
    <x v="0"/>
    <x v="0"/>
    <x v="2"/>
    <x v="1"/>
    <n v="6"/>
    <n v="2942.355844019346"/>
    <n v="17654.135064116079"/>
    <n v="13599.817101453449"/>
    <n v="4054.3179626626211"/>
    <n v="0.22965259685270317"/>
  </r>
  <r>
    <d v="2023-08-21T00:00:00"/>
    <x v="7"/>
    <n v="2023"/>
    <x v="1"/>
    <x v="1"/>
    <x v="3"/>
    <x v="3"/>
    <n v="5"/>
    <n v="560.10010565441087"/>
    <n v="2800.500528272054"/>
    <n v="1626.597079073757"/>
    <n v="1173.903449198297"/>
    <n v="0.41917629986044352"/>
  </r>
  <r>
    <d v="2023-08-21T00:00:00"/>
    <x v="7"/>
    <n v="2023"/>
    <x v="4"/>
    <x v="1"/>
    <x v="0"/>
    <x v="0"/>
    <n v="5"/>
    <n v="99.957587832729814"/>
    <n v="499.78793916364913"/>
    <n v="390.41861783023569"/>
    <n v="109.3693213334134"/>
    <n v="0.21883145382906452"/>
  </r>
  <r>
    <d v="2023-08-23T00:00:00"/>
    <x v="7"/>
    <n v="2023"/>
    <x v="2"/>
    <x v="0"/>
    <x v="4"/>
    <x v="2"/>
    <n v="2"/>
    <n v="232.3997146851078"/>
    <n v="464.79942937021559"/>
    <n v="234.96410747460621"/>
    <n v="229.83532189560941"/>
    <n v="0.49448279703576004"/>
  </r>
  <r>
    <d v="2023-08-25T00:00:00"/>
    <x v="7"/>
    <n v="2023"/>
    <x v="0"/>
    <x v="0"/>
    <x v="3"/>
    <x v="0"/>
    <n v="1"/>
    <n v="828.83626552750354"/>
    <n v="828.83626552750354"/>
    <n v="454.30176005135041"/>
    <n v="374.53450547615319"/>
    <n v="0.45187996840097833"/>
  </r>
  <r>
    <d v="2023-08-28T00:00:00"/>
    <x v="7"/>
    <n v="2023"/>
    <x v="0"/>
    <x v="0"/>
    <x v="2"/>
    <x v="0"/>
    <n v="6"/>
    <n v="3494.2733936148652"/>
    <n v="20965.640361689191"/>
    <n v="15881.63278174874"/>
    <n v="5084.0075799404494"/>
    <n v="0.24249235855588402"/>
  </r>
  <r>
    <d v="2023-08-30T00:00:00"/>
    <x v="7"/>
    <n v="2023"/>
    <x v="3"/>
    <x v="1"/>
    <x v="2"/>
    <x v="4"/>
    <n v="2"/>
    <n v="388.85573319388209"/>
    <n v="777.71146638776418"/>
    <n v="513.76197352186978"/>
    <n v="263.9494928658944"/>
    <n v="0.33939256944720181"/>
  </r>
  <r>
    <d v="2023-08-31T00:00:00"/>
    <x v="7"/>
    <n v="2023"/>
    <x v="3"/>
    <x v="1"/>
    <x v="0"/>
    <x v="2"/>
    <n v="4"/>
    <n v="776.18693795478771"/>
    <n v="3104.7477518191508"/>
    <n v="2358.5282669004132"/>
    <n v="746.21948491873809"/>
    <n v="0.24034786223180582"/>
  </r>
  <r>
    <d v="2023-09-01T00:00:00"/>
    <x v="8"/>
    <n v="2023"/>
    <x v="1"/>
    <x v="1"/>
    <x v="2"/>
    <x v="4"/>
    <n v="2"/>
    <n v="506.19938970589283"/>
    <n v="1012.398779411786"/>
    <n v="650.23457144982808"/>
    <n v="362.16420796195752"/>
    <n v="0.35772880738988899"/>
  </r>
  <r>
    <d v="2023-09-02T00:00:00"/>
    <x v="8"/>
    <n v="2023"/>
    <x v="1"/>
    <x v="1"/>
    <x v="1"/>
    <x v="3"/>
    <n v="1"/>
    <n v="476.04314634521921"/>
    <n v="476.04314634521921"/>
    <n v="336.3065645146084"/>
    <n v="139.73658183061079"/>
    <n v="0.29353764024002132"/>
  </r>
  <r>
    <d v="2023-09-03T00:00:00"/>
    <x v="8"/>
    <n v="2023"/>
    <x v="3"/>
    <x v="1"/>
    <x v="4"/>
    <x v="2"/>
    <n v="8"/>
    <n v="437.54190253302153"/>
    <n v="3500.3352202641722"/>
    <n v="1976.151217758701"/>
    <n v="1524.1840025054701"/>
    <n v="0.43543943839482868"/>
  </r>
  <r>
    <d v="2023-09-03T00:00:00"/>
    <x v="8"/>
    <n v="2023"/>
    <x v="3"/>
    <x v="1"/>
    <x v="2"/>
    <x v="2"/>
    <n v="4"/>
    <n v="441.0773675483909"/>
    <n v="1764.309470193564"/>
    <n v="967.90752081685378"/>
    <n v="796.40194937670981"/>
    <n v="0.45139583663252447"/>
  </r>
  <r>
    <d v="2023-09-06T00:00:00"/>
    <x v="8"/>
    <n v="2023"/>
    <x v="0"/>
    <x v="0"/>
    <x v="2"/>
    <x v="4"/>
    <n v="3"/>
    <n v="2015.058509517703"/>
    <n v="6045.175528553109"/>
    <n v="3833.6131205265378"/>
    <n v="2211.5624080265711"/>
    <n v="0.36583923784854938"/>
  </r>
  <r>
    <d v="2023-09-06T00:00:00"/>
    <x v="8"/>
    <n v="2023"/>
    <x v="2"/>
    <x v="0"/>
    <x v="4"/>
    <x v="1"/>
    <n v="9"/>
    <n v="463.44582132496748"/>
    <n v="4171.0123919247071"/>
    <n v="2806.1627580269869"/>
    <n v="1364.84963389772"/>
    <n v="0.32722262742257457"/>
  </r>
  <r>
    <d v="2023-09-08T00:00:00"/>
    <x v="8"/>
    <n v="2023"/>
    <x v="3"/>
    <x v="1"/>
    <x v="1"/>
    <x v="2"/>
    <n v="3"/>
    <n v="74.623170483027394"/>
    <n v="223.86951144908221"/>
    <n v="112.5718055422295"/>
    <n v="111.2977059068527"/>
    <n v="0.4971543699114504"/>
  </r>
  <r>
    <d v="2023-09-09T00:00:00"/>
    <x v="8"/>
    <n v="2023"/>
    <x v="3"/>
    <x v="1"/>
    <x v="0"/>
    <x v="4"/>
    <n v="3"/>
    <n v="776.05597778289723"/>
    <n v="2328.1679333486918"/>
    <n v="1529.4418547145781"/>
    <n v="798.72607863411417"/>
    <n v="0.34307064674895521"/>
  </r>
  <r>
    <d v="2023-09-09T00:00:00"/>
    <x v="8"/>
    <n v="2023"/>
    <x v="1"/>
    <x v="1"/>
    <x v="0"/>
    <x v="4"/>
    <n v="3"/>
    <n v="651.41081598897802"/>
    <n v="1954.2324479669339"/>
    <n v="1181.528539743844"/>
    <n v="772.70390822308991"/>
    <n v="0.39540020381248131"/>
  </r>
  <r>
    <d v="2023-09-10T00:00:00"/>
    <x v="8"/>
    <n v="2023"/>
    <x v="2"/>
    <x v="0"/>
    <x v="4"/>
    <x v="0"/>
    <n v="7"/>
    <n v="434.38728809935662"/>
    <n v="3040.7110166954958"/>
    <n v="2177.6198460214709"/>
    <n v="863.09117067402485"/>
    <n v="0.28384518158256039"/>
  </r>
  <r>
    <d v="2023-09-10T00:00:00"/>
    <x v="8"/>
    <n v="2023"/>
    <x v="3"/>
    <x v="1"/>
    <x v="4"/>
    <x v="3"/>
    <n v="2"/>
    <n v="715.67958884588575"/>
    <n v="1431.359177691771"/>
    <n v="778.63283595270957"/>
    <n v="652.72634173906192"/>
    <n v="0.45601855349239256"/>
  </r>
  <r>
    <d v="2023-09-10T00:00:00"/>
    <x v="8"/>
    <n v="2023"/>
    <x v="2"/>
    <x v="0"/>
    <x v="2"/>
    <x v="3"/>
    <n v="3"/>
    <n v="318.32035318838689"/>
    <n v="954.96105956516089"/>
    <n v="759.16469233475311"/>
    <n v="195.79636723040781"/>
    <n v="0.20503073425796356"/>
  </r>
  <r>
    <d v="2023-09-18T00:00:00"/>
    <x v="8"/>
    <n v="2023"/>
    <x v="4"/>
    <x v="1"/>
    <x v="0"/>
    <x v="2"/>
    <n v="8"/>
    <n v="651.70206776661519"/>
    <n v="5213.6165421329206"/>
    <n v="3005.0878900592361"/>
    <n v="2208.528652073685"/>
    <n v="0.4236078035708708"/>
  </r>
  <r>
    <d v="2023-09-20T00:00:00"/>
    <x v="8"/>
    <n v="2023"/>
    <x v="2"/>
    <x v="0"/>
    <x v="2"/>
    <x v="0"/>
    <n v="4"/>
    <n v="797.4235460053219"/>
    <n v="3189.694184021288"/>
    <n v="2373.7419623935211"/>
    <n v="815.9522216277669"/>
    <n v="0.2558089191481942"/>
  </r>
  <r>
    <d v="2023-09-20T00:00:00"/>
    <x v="8"/>
    <n v="2023"/>
    <x v="2"/>
    <x v="0"/>
    <x v="4"/>
    <x v="1"/>
    <n v="7"/>
    <n v="250.3170655918419"/>
    <n v="1752.2194591428929"/>
    <n v="1293.1768205970011"/>
    <n v="459.0426385458918"/>
    <n v="0.26197782255564883"/>
  </r>
  <r>
    <d v="2023-09-21T00:00:00"/>
    <x v="8"/>
    <n v="2023"/>
    <x v="1"/>
    <x v="1"/>
    <x v="2"/>
    <x v="0"/>
    <n v="2"/>
    <n v="536.76738179610595"/>
    <n v="1073.5347635922119"/>
    <n v="637.15718470972195"/>
    <n v="436.37757888249001"/>
    <n v="0.40648667717317671"/>
  </r>
  <r>
    <d v="2023-09-21T00:00:00"/>
    <x v="8"/>
    <n v="2023"/>
    <x v="3"/>
    <x v="1"/>
    <x v="1"/>
    <x v="2"/>
    <n v="1"/>
    <n v="673.729925925526"/>
    <n v="673.729925925526"/>
    <n v="527.78942339709272"/>
    <n v="145.94050252843331"/>
    <n v="0.21661573415779301"/>
  </r>
  <r>
    <d v="2023-09-23T00:00:00"/>
    <x v="8"/>
    <n v="2023"/>
    <x v="0"/>
    <x v="0"/>
    <x v="0"/>
    <x v="1"/>
    <n v="1"/>
    <n v="1231.946871553097"/>
    <n v="1231.946871553097"/>
    <n v="656.80290719449567"/>
    <n v="575.1439643586009"/>
    <n v="0.46685776606058138"/>
  </r>
  <r>
    <d v="2023-09-23T00:00:00"/>
    <x v="8"/>
    <n v="2023"/>
    <x v="0"/>
    <x v="0"/>
    <x v="4"/>
    <x v="4"/>
    <n v="2"/>
    <n v="336.01377693201488"/>
    <n v="672.02755386402976"/>
    <n v="476.13862434175678"/>
    <n v="195.888929522273"/>
    <n v="0.29148943134243405"/>
  </r>
  <r>
    <d v="2023-09-24T00:00:00"/>
    <x v="8"/>
    <n v="2023"/>
    <x v="1"/>
    <x v="1"/>
    <x v="4"/>
    <x v="2"/>
    <n v="9"/>
    <n v="316.23290853979933"/>
    <n v="2846.0961768581928"/>
    <n v="2160.1872682489179"/>
    <n v="685.90890860927539"/>
    <n v="0.24099990512845235"/>
  </r>
  <r>
    <d v="2023-09-25T00:00:00"/>
    <x v="8"/>
    <n v="2023"/>
    <x v="1"/>
    <x v="1"/>
    <x v="1"/>
    <x v="2"/>
    <n v="8"/>
    <n v="672.07848974934336"/>
    <n v="5376.6279179947469"/>
    <n v="3068.643865564432"/>
    <n v="2307.9840524303149"/>
    <n v="0.42926237181223703"/>
  </r>
  <r>
    <d v="2023-09-25T00:00:00"/>
    <x v="8"/>
    <n v="2023"/>
    <x v="4"/>
    <x v="1"/>
    <x v="3"/>
    <x v="3"/>
    <n v="5"/>
    <n v="242.1755856144247"/>
    <n v="1210.877928072124"/>
    <n v="618.83864115173049"/>
    <n v="592.03928692039324"/>
    <n v="0.48893391579364009"/>
  </r>
  <r>
    <d v="2023-09-26T00:00:00"/>
    <x v="8"/>
    <n v="2023"/>
    <x v="1"/>
    <x v="1"/>
    <x v="1"/>
    <x v="3"/>
    <n v="5"/>
    <n v="550.50980197303431"/>
    <n v="2752.5490098651721"/>
    <n v="1887.1019459118461"/>
    <n v="865.44706395332537"/>
    <n v="0.31441658653544463"/>
  </r>
  <r>
    <d v="2023-09-27T00:00:00"/>
    <x v="8"/>
    <n v="2023"/>
    <x v="3"/>
    <x v="1"/>
    <x v="2"/>
    <x v="4"/>
    <n v="8"/>
    <n v="777.42543122898689"/>
    <n v="6219.4034498318952"/>
    <n v="4871.5340029017707"/>
    <n v="1347.869446930124"/>
    <n v="0.21672005326596969"/>
  </r>
  <r>
    <d v="2023-09-27T00:00:00"/>
    <x v="8"/>
    <n v="2023"/>
    <x v="2"/>
    <x v="0"/>
    <x v="2"/>
    <x v="1"/>
    <n v="2"/>
    <n v="440.95986326348219"/>
    <n v="881.91972652696438"/>
    <n v="596.20009153197384"/>
    <n v="285.71963499499049"/>
    <n v="0.32397465030084538"/>
  </r>
  <r>
    <d v="2023-09-28T00:00:00"/>
    <x v="8"/>
    <n v="2023"/>
    <x v="2"/>
    <x v="0"/>
    <x v="3"/>
    <x v="0"/>
    <n v="9"/>
    <n v="697.52607100537637"/>
    <n v="6277.7346390483872"/>
    <n v="4601.4480085281984"/>
    <n v="1676.2866305201901"/>
    <n v="0.26702094416247746"/>
  </r>
  <r>
    <d v="2023-10-01T00:00:00"/>
    <x v="9"/>
    <n v="2023"/>
    <x v="4"/>
    <x v="1"/>
    <x v="3"/>
    <x v="4"/>
    <n v="9"/>
    <n v="595.17606075317894"/>
    <n v="5356.5845467786103"/>
    <n v="2971.2179753606611"/>
    <n v="2385.3665714179492"/>
    <n v="0.44531483645721259"/>
  </r>
  <r>
    <d v="2023-10-03T00:00:00"/>
    <x v="9"/>
    <n v="2023"/>
    <x v="3"/>
    <x v="1"/>
    <x v="4"/>
    <x v="4"/>
    <n v="2"/>
    <n v="272.04191251481723"/>
    <n v="544.08382502963445"/>
    <n v="430.87593598416862"/>
    <n v="113.2078890454659"/>
    <n v="0.20807067557889602"/>
  </r>
  <r>
    <d v="2023-10-04T00:00:00"/>
    <x v="9"/>
    <n v="2023"/>
    <x v="2"/>
    <x v="0"/>
    <x v="3"/>
    <x v="2"/>
    <n v="8"/>
    <n v="718.19183775109843"/>
    <n v="5745.5347020087866"/>
    <n v="3970.1696767869721"/>
    <n v="1775.3650252218149"/>
    <n v="0.30899909534983777"/>
  </r>
  <r>
    <d v="2023-10-04T00:00:00"/>
    <x v="9"/>
    <n v="2023"/>
    <x v="2"/>
    <x v="0"/>
    <x v="3"/>
    <x v="3"/>
    <n v="1"/>
    <n v="443.18137983282139"/>
    <n v="443.18137983282139"/>
    <n v="289.23976731194023"/>
    <n v="153.94161252088119"/>
    <n v="0.34735577694837189"/>
  </r>
  <r>
    <d v="2023-10-06T00:00:00"/>
    <x v="9"/>
    <n v="2023"/>
    <x v="1"/>
    <x v="1"/>
    <x v="1"/>
    <x v="4"/>
    <n v="1"/>
    <n v="113.7630631890746"/>
    <n v="113.7630631890746"/>
    <n v="75.464355891661995"/>
    <n v="38.298707297412591"/>
    <n v="0.3366532706117451"/>
  </r>
  <r>
    <d v="2023-10-07T00:00:00"/>
    <x v="9"/>
    <n v="2023"/>
    <x v="0"/>
    <x v="0"/>
    <x v="4"/>
    <x v="4"/>
    <n v="7"/>
    <n v="4009.2835169392101"/>
    <n v="28064.984618574468"/>
    <n v="17612.575448048989"/>
    <n v="10452.40917052548"/>
    <n v="0.37243594865922997"/>
  </r>
  <r>
    <d v="2023-10-07T00:00:00"/>
    <x v="9"/>
    <n v="2023"/>
    <x v="2"/>
    <x v="0"/>
    <x v="3"/>
    <x v="0"/>
    <n v="6"/>
    <n v="471.14179526499908"/>
    <n v="2826.850771589995"/>
    <n v="1645.9287733362621"/>
    <n v="1180.9219982537329"/>
    <n v="0.41775180003205814"/>
  </r>
  <r>
    <d v="2023-10-07T00:00:00"/>
    <x v="9"/>
    <n v="2023"/>
    <x v="4"/>
    <x v="1"/>
    <x v="4"/>
    <x v="4"/>
    <n v="2"/>
    <n v="271.58959610610839"/>
    <n v="543.17919221221678"/>
    <n v="409.88352820473608"/>
    <n v="133.29566400748061"/>
    <n v="0.24539906152259752"/>
  </r>
  <r>
    <d v="2023-10-09T00:00:00"/>
    <x v="9"/>
    <n v="2023"/>
    <x v="2"/>
    <x v="0"/>
    <x v="4"/>
    <x v="0"/>
    <n v="2"/>
    <n v="161.162023113402"/>
    <n v="322.32404622680411"/>
    <n v="243.77868121262659"/>
    <n v="78.545365014177463"/>
    <n v="0.24368447198912618"/>
  </r>
  <r>
    <d v="2023-10-11T00:00:00"/>
    <x v="9"/>
    <n v="2023"/>
    <x v="3"/>
    <x v="1"/>
    <x v="1"/>
    <x v="3"/>
    <n v="2"/>
    <n v="406.21429107089989"/>
    <n v="812.42858214179989"/>
    <n v="523.34697255506069"/>
    <n v="289.08160958673921"/>
    <n v="0.35582402680200559"/>
  </r>
  <r>
    <d v="2023-10-11T00:00:00"/>
    <x v="9"/>
    <n v="2023"/>
    <x v="2"/>
    <x v="0"/>
    <x v="3"/>
    <x v="2"/>
    <n v="5"/>
    <n v="91.529234861615251"/>
    <n v="457.64617430807618"/>
    <n v="311.53452264961692"/>
    <n v="146.11165165845941"/>
    <n v="0.31926772222966432"/>
  </r>
  <r>
    <d v="2023-10-12T00:00:00"/>
    <x v="9"/>
    <n v="2023"/>
    <x v="3"/>
    <x v="1"/>
    <x v="0"/>
    <x v="2"/>
    <n v="3"/>
    <n v="502.23802978355639"/>
    <n v="1506.7140893506689"/>
    <n v="905.48433789629382"/>
    <n v="601.22975145437556"/>
    <n v="0.39903373553338217"/>
  </r>
  <r>
    <d v="2023-10-12T00:00:00"/>
    <x v="9"/>
    <n v="2023"/>
    <x v="2"/>
    <x v="0"/>
    <x v="2"/>
    <x v="4"/>
    <n v="9"/>
    <n v="147.62658052950201"/>
    <n v="1328.6392247655181"/>
    <n v="981.12415518896"/>
    <n v="347.51506957655761"/>
    <n v="0.26155713537502101"/>
  </r>
  <r>
    <d v="2023-10-13T00:00:00"/>
    <x v="9"/>
    <n v="2023"/>
    <x v="2"/>
    <x v="0"/>
    <x v="0"/>
    <x v="2"/>
    <n v="4"/>
    <n v="770.09927404475434"/>
    <n v="3080.3970961790169"/>
    <n v="2126.9772722780031"/>
    <n v="953.4198239010143"/>
    <n v="0.30951198632269011"/>
  </r>
  <r>
    <d v="2023-10-15T00:00:00"/>
    <x v="9"/>
    <n v="2023"/>
    <x v="4"/>
    <x v="1"/>
    <x v="0"/>
    <x v="2"/>
    <n v="2"/>
    <n v="391.44434349543099"/>
    <n v="782.88868699086208"/>
    <n v="586.70574377243156"/>
    <n v="196.18294321843049"/>
    <n v="0.25058855298124949"/>
  </r>
  <r>
    <d v="2023-10-16T00:00:00"/>
    <x v="9"/>
    <n v="2023"/>
    <x v="2"/>
    <x v="0"/>
    <x v="2"/>
    <x v="4"/>
    <n v="6"/>
    <n v="604.34607849900078"/>
    <n v="3626.0764709940049"/>
    <n v="1971.7756152742479"/>
    <n v="1654.300855719757"/>
    <n v="0.45622337778945649"/>
  </r>
  <r>
    <d v="2023-10-16T00:00:00"/>
    <x v="9"/>
    <n v="2023"/>
    <x v="2"/>
    <x v="0"/>
    <x v="4"/>
    <x v="2"/>
    <n v="5"/>
    <n v="703.87719667416457"/>
    <n v="3519.3859833708229"/>
    <n v="2120.8683051647349"/>
    <n v="1398.517678206088"/>
    <n v="0.39737547538522777"/>
  </r>
  <r>
    <d v="2023-10-16T00:00:00"/>
    <x v="9"/>
    <n v="2023"/>
    <x v="2"/>
    <x v="0"/>
    <x v="2"/>
    <x v="1"/>
    <n v="4"/>
    <n v="412.00153964148512"/>
    <n v="1648.00615856594"/>
    <n v="1021.102816771365"/>
    <n v="626.90334179457511"/>
    <n v="0.38040109166830605"/>
  </r>
  <r>
    <d v="2023-10-19T00:00:00"/>
    <x v="9"/>
    <n v="2023"/>
    <x v="0"/>
    <x v="0"/>
    <x v="4"/>
    <x v="1"/>
    <n v="2"/>
    <n v="1935.5021512793869"/>
    <n v="3871.0043025587729"/>
    <n v="2337.6860681627259"/>
    <n v="1533.318234396048"/>
    <n v="0.39610346942329905"/>
  </r>
  <r>
    <d v="2023-10-19T00:00:00"/>
    <x v="9"/>
    <n v="2023"/>
    <x v="1"/>
    <x v="1"/>
    <x v="4"/>
    <x v="1"/>
    <n v="5"/>
    <n v="672.92161274836292"/>
    <n v="3364.608063741814"/>
    <n v="2123.5993599103831"/>
    <n v="1241.0087038314309"/>
    <n v="0.36884198109282684"/>
  </r>
  <r>
    <d v="2023-10-19T00:00:00"/>
    <x v="9"/>
    <n v="2023"/>
    <x v="4"/>
    <x v="1"/>
    <x v="3"/>
    <x v="4"/>
    <n v="5"/>
    <n v="664.90308569108106"/>
    <n v="3324.515428455406"/>
    <n v="2618.7953996989449"/>
    <n v="705.72002875646012"/>
    <n v="0.21227756163079164"/>
  </r>
  <r>
    <d v="2023-10-20T00:00:00"/>
    <x v="9"/>
    <n v="2023"/>
    <x v="0"/>
    <x v="0"/>
    <x v="4"/>
    <x v="1"/>
    <n v="3"/>
    <n v="4744.8438694626757"/>
    <n v="14234.53160838803"/>
    <n v="10378.137048188621"/>
    <n v="3856.3945601994069"/>
    <n v="0.27091826175207173"/>
  </r>
  <r>
    <d v="2023-10-20T00:00:00"/>
    <x v="9"/>
    <n v="2023"/>
    <x v="2"/>
    <x v="0"/>
    <x v="0"/>
    <x v="4"/>
    <n v="7"/>
    <n v="654.12887619855292"/>
    <n v="4578.9021333898709"/>
    <n v="3275.9156524259329"/>
    <n v="1302.986480963938"/>
    <n v="0.2845630771320517"/>
  </r>
  <r>
    <d v="2023-10-20T00:00:00"/>
    <x v="9"/>
    <n v="2023"/>
    <x v="4"/>
    <x v="1"/>
    <x v="2"/>
    <x v="0"/>
    <n v="9"/>
    <n v="350.82192361586112"/>
    <n v="3157.3973125427501"/>
    <n v="2276.2727713911049"/>
    <n v="881.12454115164519"/>
    <n v="0.27906672931258314"/>
  </r>
  <r>
    <d v="2023-10-20T00:00:00"/>
    <x v="9"/>
    <n v="2023"/>
    <x v="2"/>
    <x v="0"/>
    <x v="0"/>
    <x v="0"/>
    <n v="4"/>
    <n v="413.77900787655392"/>
    <n v="1655.116031506215"/>
    <n v="1097.325637596397"/>
    <n v="557.79039390981893"/>
    <n v="0.33700984299101355"/>
  </r>
  <r>
    <d v="2023-10-20T00:00:00"/>
    <x v="9"/>
    <n v="2023"/>
    <x v="2"/>
    <x v="0"/>
    <x v="4"/>
    <x v="1"/>
    <n v="1"/>
    <n v="115.2457329278209"/>
    <n v="115.2457329278209"/>
    <n v="73.257068997042339"/>
    <n v="41.988663930778571"/>
    <n v="0.36434029151496938"/>
  </r>
  <r>
    <d v="2023-10-21T00:00:00"/>
    <x v="9"/>
    <n v="2023"/>
    <x v="3"/>
    <x v="1"/>
    <x v="0"/>
    <x v="1"/>
    <n v="8"/>
    <n v="491.08714021655982"/>
    <n v="3928.6971217324781"/>
    <n v="2556.3501963529811"/>
    <n v="1372.346925379497"/>
    <n v="0.34931349576124082"/>
  </r>
  <r>
    <d v="2023-10-23T00:00:00"/>
    <x v="9"/>
    <n v="2023"/>
    <x v="0"/>
    <x v="0"/>
    <x v="3"/>
    <x v="3"/>
    <n v="5"/>
    <n v="4924.9639348635556"/>
    <n v="24624.81967431778"/>
    <n v="18509.724068317311"/>
    <n v="6115.0956060004764"/>
    <n v="0.24833057406621975"/>
  </r>
  <r>
    <d v="2023-10-23T00:00:00"/>
    <x v="9"/>
    <n v="2023"/>
    <x v="1"/>
    <x v="1"/>
    <x v="1"/>
    <x v="3"/>
    <n v="7"/>
    <n v="362.22084680290448"/>
    <n v="2535.545927620331"/>
    <n v="1707.045852545969"/>
    <n v="828.50007507436226"/>
    <n v="0.3267541187281624"/>
  </r>
  <r>
    <d v="2023-10-25T00:00:00"/>
    <x v="9"/>
    <n v="2023"/>
    <x v="1"/>
    <x v="1"/>
    <x v="0"/>
    <x v="2"/>
    <n v="9"/>
    <n v="422.97599519139112"/>
    <n v="3806.7839567225201"/>
    <n v="2201.2680738181321"/>
    <n v="1605.515882904388"/>
    <n v="0.4217512475508774"/>
  </r>
  <r>
    <d v="2023-10-25T00:00:00"/>
    <x v="9"/>
    <n v="2023"/>
    <x v="2"/>
    <x v="0"/>
    <x v="0"/>
    <x v="0"/>
    <n v="6"/>
    <n v="648.67418882462334"/>
    <n v="3892.0451329477401"/>
    <n v="2588.474527099253"/>
    <n v="1303.570605848487"/>
    <n v="0.33493203735312144"/>
  </r>
  <r>
    <d v="2023-10-26T00:00:00"/>
    <x v="9"/>
    <n v="2023"/>
    <x v="3"/>
    <x v="1"/>
    <x v="4"/>
    <x v="2"/>
    <n v="3"/>
    <n v="219.8414160036773"/>
    <n v="659.52424801103189"/>
    <n v="450.75456009765298"/>
    <n v="208.76968791337879"/>
    <n v="0.31654588674029571"/>
  </r>
  <r>
    <d v="2023-10-28T00:00:00"/>
    <x v="9"/>
    <n v="2023"/>
    <x v="2"/>
    <x v="0"/>
    <x v="4"/>
    <x v="2"/>
    <n v="7"/>
    <n v="146.65787783661031"/>
    <n v="1026.6051448562721"/>
    <n v="571.31061395495544"/>
    <n v="455.29453090131659"/>
    <n v="0.44349527487031953"/>
  </r>
  <r>
    <d v="2023-10-29T00:00:00"/>
    <x v="9"/>
    <n v="2023"/>
    <x v="3"/>
    <x v="1"/>
    <x v="3"/>
    <x v="0"/>
    <n v="1"/>
    <n v="78.770079684780001"/>
    <n v="78.770079684780001"/>
    <n v="46.608973412985307"/>
    <n v="32.161106271794687"/>
    <n v="0.40829089421384546"/>
  </r>
  <r>
    <d v="2023-10-30T00:00:00"/>
    <x v="9"/>
    <n v="2023"/>
    <x v="0"/>
    <x v="0"/>
    <x v="4"/>
    <x v="3"/>
    <n v="7"/>
    <n v="3793.0084780314678"/>
    <n v="26551.059346220281"/>
    <n v="16044.047323247771"/>
    <n v="10507.0120229725"/>
    <n v="0.39572854272830521"/>
  </r>
  <r>
    <d v="2023-10-31T00:00:00"/>
    <x v="9"/>
    <n v="2023"/>
    <x v="1"/>
    <x v="1"/>
    <x v="0"/>
    <x v="3"/>
    <n v="8"/>
    <n v="683.72419003865991"/>
    <n v="5469.7935203092793"/>
    <n v="4270.2158287839447"/>
    <n v="1199.577691525335"/>
    <n v="0.21930950173371574"/>
  </r>
  <r>
    <d v="2023-10-31T00:00:00"/>
    <x v="9"/>
    <n v="2023"/>
    <x v="4"/>
    <x v="1"/>
    <x v="0"/>
    <x v="1"/>
    <n v="9"/>
    <n v="316.55258265296851"/>
    <n v="2848.973243876716"/>
    <n v="1765.3572514854909"/>
    <n v="1083.615992391226"/>
    <n v="0.38035316573093009"/>
  </r>
  <r>
    <d v="2023-10-31T00:00:00"/>
    <x v="9"/>
    <n v="2023"/>
    <x v="2"/>
    <x v="0"/>
    <x v="1"/>
    <x v="1"/>
    <n v="7"/>
    <n v="284.44323701798652"/>
    <n v="1991.102659125906"/>
    <n v="1204.144963344002"/>
    <n v="786.95769578190402"/>
    <n v="0.39523712761620156"/>
  </r>
  <r>
    <d v="2023-11-01T00:00:00"/>
    <x v="10"/>
    <n v="2023"/>
    <x v="1"/>
    <x v="1"/>
    <x v="1"/>
    <x v="4"/>
    <n v="6"/>
    <n v="483.92577715401018"/>
    <n v="2903.5546629240612"/>
    <n v="1988.8808641161691"/>
    <n v="914.67379880789235"/>
    <n v="0.3150186254412578"/>
  </r>
  <r>
    <d v="2023-11-02T00:00:00"/>
    <x v="10"/>
    <n v="2023"/>
    <x v="2"/>
    <x v="0"/>
    <x v="2"/>
    <x v="0"/>
    <n v="5"/>
    <n v="88.958414225204336"/>
    <n v="444.79207112602171"/>
    <n v="328.05432459467983"/>
    <n v="116.7377465313419"/>
    <n v="0.26245464815911007"/>
  </r>
  <r>
    <d v="2023-11-04T00:00:00"/>
    <x v="10"/>
    <n v="2023"/>
    <x v="3"/>
    <x v="1"/>
    <x v="4"/>
    <x v="0"/>
    <n v="3"/>
    <n v="640.24523191958883"/>
    <n v="1920.735695758766"/>
    <n v="1116.426999647915"/>
    <n v="804.30869611085132"/>
    <n v="0.41875032462137785"/>
  </r>
  <r>
    <d v="2023-11-04T00:00:00"/>
    <x v="10"/>
    <n v="2023"/>
    <x v="3"/>
    <x v="1"/>
    <x v="4"/>
    <x v="0"/>
    <n v="2"/>
    <n v="273.24722297424682"/>
    <n v="546.49444594849354"/>
    <n v="394.13568721622062"/>
    <n v="152.35875873227289"/>
    <n v="0.27879287678365999"/>
  </r>
  <r>
    <d v="2023-11-05T00:00:00"/>
    <x v="10"/>
    <n v="2023"/>
    <x v="4"/>
    <x v="1"/>
    <x v="0"/>
    <x v="2"/>
    <n v="5"/>
    <n v="501.63557750961888"/>
    <n v="2508.177887548095"/>
    <n v="1714.3294233697311"/>
    <n v="793.84846417836366"/>
    <n v="0.31650405185351566"/>
  </r>
  <r>
    <d v="2023-11-05T00:00:00"/>
    <x v="10"/>
    <n v="2023"/>
    <x v="0"/>
    <x v="0"/>
    <x v="4"/>
    <x v="0"/>
    <n v="9"/>
    <n v="72.928513872784151"/>
    <n v="656.35662485505736"/>
    <n v="393.84662964447568"/>
    <n v="262.50999521058162"/>
    <n v="0.39995024849265665"/>
  </r>
  <r>
    <d v="2023-11-07T00:00:00"/>
    <x v="10"/>
    <n v="2023"/>
    <x v="4"/>
    <x v="1"/>
    <x v="4"/>
    <x v="3"/>
    <n v="7"/>
    <n v="681.5399144641691"/>
    <n v="4770.779401249184"/>
    <n v="2561.1121374702798"/>
    <n v="2209.6672637789038"/>
    <n v="0.46316693310118745"/>
  </r>
  <r>
    <d v="2023-11-07T00:00:00"/>
    <x v="10"/>
    <n v="2023"/>
    <x v="2"/>
    <x v="0"/>
    <x v="2"/>
    <x v="1"/>
    <n v="5"/>
    <n v="797.37673291764622"/>
    <n v="3986.8836645882311"/>
    <n v="2657.7743104525639"/>
    <n v="1329.109354135667"/>
    <n v="0.33337048831921173"/>
  </r>
  <r>
    <d v="2023-11-08T00:00:00"/>
    <x v="10"/>
    <n v="2023"/>
    <x v="0"/>
    <x v="0"/>
    <x v="1"/>
    <x v="2"/>
    <n v="5"/>
    <n v="264.8338773259552"/>
    <n v="1324.169386629776"/>
    <n v="1029.400010744936"/>
    <n v="294.76937588483997"/>
    <n v="0.22260700093292099"/>
  </r>
  <r>
    <d v="2023-11-09T00:00:00"/>
    <x v="10"/>
    <n v="2023"/>
    <x v="1"/>
    <x v="1"/>
    <x v="3"/>
    <x v="1"/>
    <n v="8"/>
    <n v="101.2046939479676"/>
    <n v="809.63755158374079"/>
    <n v="599.11140604207026"/>
    <n v="210.5261455416705"/>
    <n v="0.26002517438804318"/>
  </r>
  <r>
    <d v="2023-11-10T00:00:00"/>
    <x v="10"/>
    <n v="2023"/>
    <x v="3"/>
    <x v="1"/>
    <x v="4"/>
    <x v="1"/>
    <n v="8"/>
    <n v="593.35541416703086"/>
    <n v="4746.8433133362469"/>
    <n v="3517.621081205275"/>
    <n v="1229.2222321309721"/>
    <n v="0.25895572088454544"/>
  </r>
  <r>
    <d v="2023-11-11T00:00:00"/>
    <x v="10"/>
    <n v="2023"/>
    <x v="1"/>
    <x v="1"/>
    <x v="2"/>
    <x v="1"/>
    <n v="1"/>
    <n v="385.5806646400768"/>
    <n v="385.5806646400768"/>
    <n v="240.77424614514521"/>
    <n v="144.80641849493159"/>
    <n v="0.37555414929870057"/>
  </r>
  <r>
    <d v="2023-11-12T00:00:00"/>
    <x v="10"/>
    <n v="2023"/>
    <x v="4"/>
    <x v="1"/>
    <x v="2"/>
    <x v="0"/>
    <n v="4"/>
    <n v="526.9718660066568"/>
    <n v="2107.8874640266272"/>
    <n v="1497.843886233343"/>
    <n v="610.04357779328438"/>
    <n v="0.28940993682268906"/>
  </r>
  <r>
    <d v="2023-11-12T00:00:00"/>
    <x v="10"/>
    <n v="2023"/>
    <x v="4"/>
    <x v="1"/>
    <x v="4"/>
    <x v="3"/>
    <n v="5"/>
    <n v="200.09718398527619"/>
    <n v="1000.485919926381"/>
    <n v="572.58573549400626"/>
    <n v="427.90018443237477"/>
    <n v="0.42769236019219647"/>
  </r>
  <r>
    <d v="2023-11-13T00:00:00"/>
    <x v="10"/>
    <n v="2023"/>
    <x v="1"/>
    <x v="1"/>
    <x v="0"/>
    <x v="4"/>
    <n v="1"/>
    <n v="54.010941968458333"/>
    <n v="54.010941968458333"/>
    <n v="43.1204539612419"/>
    <n v="10.89048800721643"/>
    <n v="0.20163484676079763"/>
  </r>
  <r>
    <d v="2023-11-14T00:00:00"/>
    <x v="10"/>
    <n v="2023"/>
    <x v="3"/>
    <x v="1"/>
    <x v="2"/>
    <x v="1"/>
    <n v="8"/>
    <n v="478.21381130257799"/>
    <n v="3825.710490420624"/>
    <n v="2250.334189394724"/>
    <n v="1575.3763010258999"/>
    <n v="0.41178659623370839"/>
  </r>
  <r>
    <d v="2023-11-15T00:00:00"/>
    <x v="10"/>
    <n v="2023"/>
    <x v="2"/>
    <x v="0"/>
    <x v="2"/>
    <x v="1"/>
    <n v="7"/>
    <n v="757.97006046423348"/>
    <n v="5305.7904232496348"/>
    <n v="3247.1055101929119"/>
    <n v="2058.684913056723"/>
    <n v="0.38800720511607417"/>
  </r>
  <r>
    <d v="2023-11-15T00:00:00"/>
    <x v="10"/>
    <n v="2023"/>
    <x v="3"/>
    <x v="1"/>
    <x v="1"/>
    <x v="2"/>
    <n v="8"/>
    <n v="357.93246419789142"/>
    <n v="2863.4597135831309"/>
    <n v="2277.3250365236868"/>
    <n v="586.13467705944367"/>
    <n v="0.20469457777912867"/>
  </r>
  <r>
    <d v="2023-11-16T00:00:00"/>
    <x v="10"/>
    <n v="2023"/>
    <x v="4"/>
    <x v="1"/>
    <x v="3"/>
    <x v="4"/>
    <n v="6"/>
    <n v="492.50435909837199"/>
    <n v="2955.0261545902322"/>
    <n v="1687.8164895399341"/>
    <n v="1267.2096650502981"/>
    <n v="0.42883196247920169"/>
  </r>
  <r>
    <d v="2023-11-20T00:00:00"/>
    <x v="10"/>
    <n v="2023"/>
    <x v="4"/>
    <x v="1"/>
    <x v="1"/>
    <x v="0"/>
    <n v="6"/>
    <n v="361.77443020135041"/>
    <n v="2170.6465812081019"/>
    <n v="1672.293682253068"/>
    <n v="498.35289895503428"/>
    <n v="0.22958730512346667"/>
  </r>
  <r>
    <d v="2023-11-20T00:00:00"/>
    <x v="10"/>
    <n v="2023"/>
    <x v="3"/>
    <x v="1"/>
    <x v="1"/>
    <x v="4"/>
    <n v="2"/>
    <n v="149.7386540396509"/>
    <n v="299.47730807930168"/>
    <n v="205.20350677407001"/>
    <n v="94.273801305231785"/>
    <n v="0.31479447277610784"/>
  </r>
  <r>
    <d v="2023-11-21T00:00:00"/>
    <x v="10"/>
    <n v="2023"/>
    <x v="3"/>
    <x v="1"/>
    <x v="0"/>
    <x v="2"/>
    <n v="1"/>
    <n v="696.4151681729029"/>
    <n v="696.4151681729029"/>
    <n v="481.16791958881282"/>
    <n v="215.2472485840901"/>
    <n v="0.30907892076619653"/>
  </r>
  <r>
    <d v="2023-11-23T00:00:00"/>
    <x v="10"/>
    <n v="2023"/>
    <x v="0"/>
    <x v="0"/>
    <x v="1"/>
    <x v="0"/>
    <n v="4"/>
    <n v="1912.4849483780331"/>
    <n v="7649.9397935121324"/>
    <n v="4016.6025333940452"/>
    <n v="3633.3372601180881"/>
    <n v="0.47494978499039947"/>
  </r>
  <r>
    <d v="2023-11-24T00:00:00"/>
    <x v="10"/>
    <n v="2023"/>
    <x v="0"/>
    <x v="0"/>
    <x v="0"/>
    <x v="3"/>
    <n v="1"/>
    <n v="1117.5920043686999"/>
    <n v="1117.5920043686999"/>
    <n v="779.70554218236862"/>
    <n v="337.8864621863313"/>
    <n v="0.30233435893020283"/>
  </r>
  <r>
    <d v="2023-11-24T00:00:00"/>
    <x v="10"/>
    <n v="2023"/>
    <x v="1"/>
    <x v="1"/>
    <x v="1"/>
    <x v="2"/>
    <n v="2"/>
    <n v="83.216048407965388"/>
    <n v="166.43209681593081"/>
    <n v="94.209714003211189"/>
    <n v="72.222382812719587"/>
    <n v="0.43394503941505647"/>
  </r>
  <r>
    <d v="2023-12-01T00:00:00"/>
    <x v="11"/>
    <n v="2023"/>
    <x v="4"/>
    <x v="1"/>
    <x v="0"/>
    <x v="2"/>
    <n v="3"/>
    <n v="482.03325630282262"/>
    <n v="1446.0997689084679"/>
    <n v="1118.86041143129"/>
    <n v="327.23935747717769"/>
    <n v="0.22629099631499255"/>
  </r>
  <r>
    <d v="2023-12-02T00:00:00"/>
    <x v="11"/>
    <n v="2023"/>
    <x v="1"/>
    <x v="1"/>
    <x v="0"/>
    <x v="0"/>
    <n v="8"/>
    <n v="341.09574719887189"/>
    <n v="2728.765977590976"/>
    <n v="2080.125428916157"/>
    <n v="648.64054867481855"/>
    <n v="0.23770471854367478"/>
  </r>
  <r>
    <d v="2023-12-03T00:00:00"/>
    <x v="11"/>
    <n v="2023"/>
    <x v="2"/>
    <x v="0"/>
    <x v="0"/>
    <x v="1"/>
    <n v="5"/>
    <n v="729.42911853929832"/>
    <n v="3647.1455926964918"/>
    <n v="2761.64792071695"/>
    <n v="885.49767197954134"/>
    <n v="0.24279197237225036"/>
  </r>
  <r>
    <d v="2023-12-04T00:00:00"/>
    <x v="11"/>
    <n v="2023"/>
    <x v="4"/>
    <x v="1"/>
    <x v="3"/>
    <x v="1"/>
    <n v="9"/>
    <n v="157.22169708832939"/>
    <n v="1414.995273794965"/>
    <n v="715.17060312390856"/>
    <n v="699.82467067105597"/>
    <n v="0.49457739091534353"/>
  </r>
  <r>
    <d v="2023-12-06T00:00:00"/>
    <x v="11"/>
    <n v="2023"/>
    <x v="2"/>
    <x v="0"/>
    <x v="4"/>
    <x v="4"/>
    <n v="1"/>
    <n v="377.43725458338298"/>
    <n v="377.43725458338298"/>
    <n v="250.49945819589351"/>
    <n v="126.9377963874895"/>
    <n v="0.33631496320521947"/>
  </r>
  <r>
    <d v="2023-12-07T00:00:00"/>
    <x v="11"/>
    <n v="2023"/>
    <x v="2"/>
    <x v="0"/>
    <x v="2"/>
    <x v="1"/>
    <n v="7"/>
    <n v="57.485960873686309"/>
    <n v="402.40172611580419"/>
    <n v="315.78222727624859"/>
    <n v="86.619498839555604"/>
    <n v="0.21525628052258411"/>
  </r>
  <r>
    <d v="2023-12-08T00:00:00"/>
    <x v="11"/>
    <n v="2023"/>
    <x v="1"/>
    <x v="1"/>
    <x v="2"/>
    <x v="2"/>
    <n v="6"/>
    <n v="480.84994324382842"/>
    <n v="2885.0996594629701"/>
    <n v="1468.9487079452911"/>
    <n v="1416.150951517679"/>
    <n v="0.49084992501828517"/>
  </r>
  <r>
    <d v="2023-12-08T00:00:00"/>
    <x v="11"/>
    <n v="2023"/>
    <x v="4"/>
    <x v="1"/>
    <x v="0"/>
    <x v="2"/>
    <n v="6"/>
    <n v="455.0710655486194"/>
    <n v="2730.426393291717"/>
    <n v="1963.709427874647"/>
    <n v="766.7169654170691"/>
    <n v="0.2808048469282261"/>
  </r>
  <r>
    <d v="2023-12-11T00:00:00"/>
    <x v="11"/>
    <n v="2023"/>
    <x v="0"/>
    <x v="0"/>
    <x v="0"/>
    <x v="2"/>
    <n v="3"/>
    <n v="3300.846489479396"/>
    <n v="9902.5394684381899"/>
    <n v="5917.3319679377919"/>
    <n v="3985.2075005003981"/>
    <n v="0.40244298073259155"/>
  </r>
  <r>
    <d v="2023-12-11T00:00:00"/>
    <x v="11"/>
    <n v="2023"/>
    <x v="0"/>
    <x v="0"/>
    <x v="2"/>
    <x v="0"/>
    <n v="8"/>
    <n v="77.334479761831872"/>
    <n v="618.67583809465498"/>
    <n v="460.68980385227519"/>
    <n v="157.98603424237979"/>
    <n v="0.25536157146354976"/>
  </r>
  <r>
    <d v="2023-12-12T00:00:00"/>
    <x v="11"/>
    <n v="2023"/>
    <x v="4"/>
    <x v="1"/>
    <x v="2"/>
    <x v="2"/>
    <n v="9"/>
    <n v="91.986657258421943"/>
    <n v="827.87991532579747"/>
    <n v="533.43914009011519"/>
    <n v="294.44077523568228"/>
    <n v="0.35565638178311204"/>
  </r>
  <r>
    <d v="2023-12-13T00:00:00"/>
    <x v="11"/>
    <n v="2023"/>
    <x v="0"/>
    <x v="0"/>
    <x v="3"/>
    <x v="4"/>
    <n v="3"/>
    <n v="1278.7208916479019"/>
    <n v="3836.162674943705"/>
    <n v="2582.8483801140901"/>
    <n v="1253.3142948296161"/>
    <n v="0.3267104137725359"/>
  </r>
  <r>
    <d v="2023-12-14T00:00:00"/>
    <x v="11"/>
    <n v="2023"/>
    <x v="0"/>
    <x v="0"/>
    <x v="2"/>
    <x v="3"/>
    <n v="9"/>
    <n v="3256.0660966797441"/>
    <n v="29304.594870117689"/>
    <n v="14656.872266167091"/>
    <n v="14647.722603950609"/>
    <n v="0.49984388690140535"/>
  </r>
  <r>
    <d v="2023-12-15T00:00:00"/>
    <x v="11"/>
    <n v="2023"/>
    <x v="1"/>
    <x v="1"/>
    <x v="4"/>
    <x v="4"/>
    <n v="8"/>
    <n v="536.44736788312036"/>
    <n v="4291.5789430649629"/>
    <n v="2845.8905049058312"/>
    <n v="1445.6884381591319"/>
    <n v="0.33686632760078022"/>
  </r>
  <r>
    <d v="2023-12-15T00:00:00"/>
    <x v="11"/>
    <n v="2023"/>
    <x v="1"/>
    <x v="1"/>
    <x v="0"/>
    <x v="2"/>
    <n v="3"/>
    <n v="611.1199661622079"/>
    <n v="1833.3598984866239"/>
    <n v="924.59648269924708"/>
    <n v="908.76341578737663"/>
    <n v="0.49568195341107318"/>
  </r>
  <r>
    <d v="2023-12-18T00:00:00"/>
    <x v="11"/>
    <n v="2023"/>
    <x v="2"/>
    <x v="0"/>
    <x v="4"/>
    <x v="0"/>
    <n v="1"/>
    <n v="621.36774817506569"/>
    <n v="621.36774817506569"/>
    <n v="442.76901136348118"/>
    <n v="178.59873681158439"/>
    <n v="0.28742839861921116"/>
  </r>
  <r>
    <d v="2023-12-19T00:00:00"/>
    <x v="11"/>
    <n v="2023"/>
    <x v="4"/>
    <x v="1"/>
    <x v="2"/>
    <x v="3"/>
    <n v="9"/>
    <n v="293.48900634316101"/>
    <n v="2641.4010570884489"/>
    <n v="1347.011346542266"/>
    <n v="1294.3897105461831"/>
    <n v="0.49003906736259012"/>
  </r>
  <r>
    <d v="2023-12-20T00:00:00"/>
    <x v="11"/>
    <n v="2023"/>
    <x v="2"/>
    <x v="0"/>
    <x v="1"/>
    <x v="4"/>
    <n v="6"/>
    <n v="241.00749964715371"/>
    <n v="1446.044997882922"/>
    <n v="731.01669209259887"/>
    <n v="715.02830579032309"/>
    <n v="0.49447168437853473"/>
  </r>
  <r>
    <d v="2023-12-22T00:00:00"/>
    <x v="11"/>
    <n v="2023"/>
    <x v="3"/>
    <x v="1"/>
    <x v="3"/>
    <x v="4"/>
    <n v="1"/>
    <n v="307.99977557771899"/>
    <n v="307.99977557771899"/>
    <n v="195.974217837548"/>
    <n v="112.025557740171"/>
    <n v="0.36371960833426997"/>
  </r>
  <r>
    <d v="2023-12-25T00:00:00"/>
    <x v="11"/>
    <n v="2023"/>
    <x v="2"/>
    <x v="0"/>
    <x v="0"/>
    <x v="1"/>
    <n v="4"/>
    <n v="531.46446459809192"/>
    <n v="2125.8578583923681"/>
    <n v="1603.7572993058841"/>
    <n v="522.1005590864836"/>
    <n v="0.24559523442517944"/>
  </r>
  <r>
    <d v="2023-12-25T00:00:00"/>
    <x v="11"/>
    <n v="2023"/>
    <x v="1"/>
    <x v="1"/>
    <x v="2"/>
    <x v="2"/>
    <n v="3"/>
    <n v="44.514764835652713"/>
    <n v="133.5442945069581"/>
    <n v="92.268841070210456"/>
    <n v="41.275453436747668"/>
    <n v="0.30907687662086591"/>
  </r>
  <r>
    <d v="2023-12-26T00:00:00"/>
    <x v="11"/>
    <n v="2023"/>
    <x v="4"/>
    <x v="1"/>
    <x v="3"/>
    <x v="0"/>
    <n v="8"/>
    <n v="414.59316952988348"/>
    <n v="3316.7453562390679"/>
    <n v="2266.784076898708"/>
    <n v="1049.9612793403601"/>
    <n v="0.31656372936960553"/>
  </r>
  <r>
    <d v="2023-12-27T00:00:00"/>
    <x v="11"/>
    <n v="2023"/>
    <x v="0"/>
    <x v="0"/>
    <x v="3"/>
    <x v="1"/>
    <n v="9"/>
    <n v="1905.6093686423351"/>
    <n v="17150.484317781011"/>
    <n v="10045.272355443771"/>
    <n v="7105.2119623372419"/>
    <n v="0.41428637411544184"/>
  </r>
  <r>
    <d v="2023-12-27T00:00:00"/>
    <x v="11"/>
    <n v="2023"/>
    <x v="0"/>
    <x v="0"/>
    <x v="2"/>
    <x v="0"/>
    <n v="9"/>
    <n v="1634.2455251015281"/>
    <n v="14708.20972591375"/>
    <n v="11305.56790070173"/>
    <n v="3402.6418252120261"/>
    <n v="0.23134303145113988"/>
  </r>
  <r>
    <d v="2023-12-30T00:00:00"/>
    <x v="11"/>
    <n v="2023"/>
    <x v="1"/>
    <x v="1"/>
    <x v="4"/>
    <x v="2"/>
    <n v="3"/>
    <n v="106.73403619879809"/>
    <n v="320.20210859639423"/>
    <n v="207.42293344063259"/>
    <n v="112.77917515576161"/>
    <n v="0.35221246871274225"/>
  </r>
  <r>
    <d v="2023-12-31T00:00:00"/>
    <x v="11"/>
    <n v="2023"/>
    <x v="4"/>
    <x v="1"/>
    <x v="4"/>
    <x v="3"/>
    <n v="7"/>
    <n v="453.52913352100012"/>
    <n v="3174.703934647001"/>
    <n v="2038.0425744597751"/>
    <n v="1136.6613601872259"/>
    <n v="0.358036964575599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FF6E2-5C1F-4CDC-8676-664CC10992B2}" name="Tabela dinâmica1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 rowHeaderCaption="categoria">
  <location ref="J4:K7" firstHeaderRow="1" firstDataRow="1" firstDataCol="1"/>
  <pivotFields count="13">
    <pivotField numFmtId="16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numFmtId="44" showAll="0"/>
    <pivotField dataField="1" numFmtId="44" showAll="0"/>
    <pivotField numFmtId="44" showAll="0"/>
    <pivotField numFmtId="44" showAll="0"/>
    <pivotField numFmtId="1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Receita" fld="9" baseField="0" baseItem="0" numFmtId="44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FDF33-913F-4116-B846-04B592332127}" name="Tabela dinâmica3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0:B36" firstHeaderRow="1" firstDataRow="1" firstDataCol="1"/>
  <pivotFields count="13">
    <pivotField numFmtId="16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>
      <items count="6">
        <item x="1"/>
        <item x="0"/>
        <item x="3"/>
        <item x="4"/>
        <item x="2"/>
        <item t="default"/>
      </items>
    </pivotField>
    <pivotField axis="axisRow" showAll="0">
      <items count="6">
        <item x="3"/>
        <item x="2"/>
        <item x="4"/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dataField="1" numFmtId="44" showAll="0"/>
    <pivotField numFmtId="1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Lucro" fld="11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93F953-E21A-472F-AC59-1F7715819E29}" name="Tabela dinâmica2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21:B27" firstHeaderRow="1" firstDataRow="1" firstDataCol="1"/>
  <pivotFields count="13">
    <pivotField numFmtId="16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>
      <items count="6">
        <item x="1"/>
        <item x="0"/>
        <item x="3"/>
        <item x="4"/>
        <item x="2"/>
        <item t="default"/>
      </items>
    </pivotField>
    <pivotField axis="axisRow" showAll="0" sortType="ascending">
      <items count="6">
        <item x="3"/>
        <item x="2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4" showAll="0"/>
    <pivotField numFmtId="44" showAll="0"/>
    <pivotField numFmtId="44" showAll="0"/>
    <pivotField dataField="1" numFmtId="44" showAll="0"/>
    <pivotField numFmtId="10" showAll="0"/>
  </pivotFields>
  <rowFields count="1">
    <field x="6"/>
  </rowFields>
  <rowItems count="6">
    <i>
      <x v="2"/>
    </i>
    <i>
      <x v="1"/>
    </i>
    <i>
      <x v="3"/>
    </i>
    <i>
      <x v="4"/>
    </i>
    <i>
      <x/>
    </i>
    <i t="grand">
      <x/>
    </i>
  </rowItems>
  <colItems count="1">
    <i/>
  </colItems>
  <dataFields count="1">
    <dataField name="Soma de Lucro" fld="11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2FE1A-FEF8-4D92-AD7E-3BE6262126CB}" name="Tabela dinâmica1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6:A17" firstHeaderRow="1" firstDataRow="1" firstDataCol="0"/>
  <pivotFields count="13">
    <pivotField numFmtId="16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>
      <items count="6">
        <item x="1"/>
        <item x="0"/>
        <item x="3"/>
        <item x="4"/>
        <item x="2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/>
    <pivotField numFmtId="44" showAll="0"/>
    <pivotField dataField="1" numFmtId="44" showAll="0"/>
    <pivotField numFmtId="44" showAll="0"/>
    <pivotField numFmtId="44" showAll="0"/>
    <pivotField numFmtId="10" showAll="0"/>
  </pivotFields>
  <rowItems count="1">
    <i/>
  </rowItems>
  <colItems count="1">
    <i/>
  </colItems>
  <dataFields count="1">
    <dataField name="Média de Receita" fld="9" subtotal="average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A3142-6024-41A9-8049-B38086AB63ED}" name="Tabela dinâmica2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Nome">
  <location ref="J78:K81" firstHeaderRow="1" firstDataRow="1" firstDataCol="1"/>
  <pivotFields count="13">
    <pivotField numFmtId="16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6">
        <item x="3"/>
        <item x="2"/>
        <item x="4"/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6">
        <item x="1"/>
        <item x="0"/>
        <item x="3"/>
        <item x="4"/>
        <item x="2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numFmtId="44" showAll="0"/>
    <pivotField dataField="1" numFmtId="1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Média de Margem de lucro" fld="12" subtotal="average" baseField="4" baseItem="0" numFmtId="1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D1698-F090-4BC1-9D29-B05193443542}" name="Tabela dinâmica1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2:A13" firstHeaderRow="1" firstDataRow="1" firstDataCol="0"/>
  <pivotFields count="13">
    <pivotField numFmtId="16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>
      <items count="6">
        <item x="1"/>
        <item x="0"/>
        <item x="3"/>
        <item x="4"/>
        <item x="2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numFmtId="44" showAll="0"/>
    <pivotField dataField="1" numFmtId="10" showAll="0"/>
  </pivotFields>
  <rowItems count="1">
    <i/>
  </rowItems>
  <colItems count="1">
    <i/>
  </colItems>
  <dataFields count="1">
    <dataField name="Média de Margem de lucro" fld="12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BB0DA-6652-41F5-BD54-E49C950C839C}" name="Tabela dinâmica1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8:A9" firstHeaderRow="1" firstDataRow="1" firstDataCol="0"/>
  <pivotFields count="13">
    <pivotField numFmtId="16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>
      <items count="6">
        <item x="1"/>
        <item x="0"/>
        <item x="3"/>
        <item x="4"/>
        <item x="2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/>
    <pivotField numFmtId="44" showAll="0"/>
    <pivotField dataField="1" numFmtId="44" showAll="0"/>
    <pivotField numFmtId="44" showAll="0"/>
    <pivotField numFmtId="44" showAll="0"/>
    <pivotField numFmtId="10" showAll="0"/>
  </pivotFields>
  <rowItems count="1">
    <i/>
  </rowItems>
  <colItems count="1">
    <i/>
  </colItems>
  <dataFields count="1">
    <dataField name="Soma de Receita" fld="9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4D29E-DB64-4EBB-9DF3-A8C2E4E1BC02}" name="Tabela dinâmica2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 rowHeaderCaption="Mês">
  <location ref="J45:K58" firstHeaderRow="1" firstDataRow="1" firstDataCol="1"/>
  <pivotFields count="13">
    <pivotField numFmtId="16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numFmtId="44" showAll="0"/>
    <pivotField dataField="1" numFmtId="44" showAll="0"/>
    <pivotField numFmtId="44" showAll="0"/>
    <pivotField numFmtId="44" showAll="0"/>
    <pivotField numFmtId="1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Receita" fld="9" baseField="0" baseItem="0" numFmtId="4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81CFE-66A9-4D69-995A-A89CE255EA47}" name="Tabela dinâmica1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" firstHeaderRow="1" firstDataRow="1" firstDataCol="0"/>
  <pivotFields count="13">
    <pivotField numFmtId="16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>
      <items count="6">
        <item x="1"/>
        <item x="0"/>
        <item x="3"/>
        <item x="4"/>
        <item x="2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dataField="1" numFmtId="44" showAll="0"/>
    <pivotField numFmtId="10" showAll="0"/>
  </pivotFields>
  <rowItems count="1">
    <i/>
  </rowItems>
  <colItems count="1">
    <i/>
  </colItems>
  <dataFields count="1">
    <dataField name="Lucro total" fld="11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59AED-DEF3-4641-BC80-30BA65260660}" name="Tabela dinâmica2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 rowHeaderCaption="Mês">
  <location ref="J20:K26" firstHeaderRow="1" firstDataRow="1" firstDataCol="1"/>
  <pivotFields count="13">
    <pivotField numFmtId="16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6">
        <item x="3"/>
        <item x="2"/>
        <item x="4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numFmtId="44" showAll="0"/>
    <pivotField dataField="1" numFmtId="44" showAll="0"/>
    <pivotField numFmtId="44" showAll="0"/>
    <pivotField numFmtId="44" showAll="0"/>
    <pivotField numFmtId="1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Receita" fld="9" baseField="0" baseItem="0" numFmtId="44"/>
  </dataFields>
  <chartFormats count="1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3" xr10:uid="{4A3AA357-CB5C-49EC-BA40-5068D2F57C84}" sourceName="Mês">
  <pivotTables>
    <pivotTable tabId="12" name="Tabela dinâmica15"/>
    <pivotTable tabId="12" name="Tabela dinâmica16"/>
    <pivotTable tabId="12" name="Tabela dinâmica17"/>
    <pivotTable tabId="12" name="Tabela dinâmica18"/>
    <pivotTable tabId="12" name="Tabela dinâmica29"/>
    <pivotTable tabId="12" name="Tabela dinâmica30"/>
  </pivotTables>
  <data>
    <tabular pivotCacheId="300431741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3" xr10:uid="{5F6B554D-A0F4-4CAC-85C9-4F422FD91CFD}" sourceName="Categoria">
  <pivotTables>
    <pivotTable tabId="12" name="Tabela dinâmica15"/>
    <pivotTable tabId="12" name="Tabela dinâmica16"/>
    <pivotTable tabId="12" name="Tabela dinâmica17"/>
    <pivotTable tabId="12" name="Tabela dinâmica18"/>
    <pivotTable tabId="12" name="Tabela dinâmica29"/>
    <pivotTable tabId="12" name="Tabela dinâmica30"/>
  </pivotTables>
  <data>
    <tabular pivotCacheId="300431741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3" xr10:uid="{16764810-A26E-4BAC-8B8F-69144A3243DA}" sourceName="Região">
  <pivotTables>
    <pivotTable tabId="12" name="Tabela dinâmica15"/>
    <pivotTable tabId="12" name="Tabela dinâmica16"/>
    <pivotTable tabId="12" name="Tabela dinâmica17"/>
    <pivotTable tabId="12" name="Tabela dinâmica18"/>
    <pivotTable tabId="12" name="Tabela dinâmica29"/>
    <pivotTable tabId="12" name="Tabela dinâmica30"/>
  </pivotTables>
  <data>
    <tabular pivotCacheId="300431741">
      <items count="5">
        <i x="1" s="1"/>
        <i x="0" s="1"/>
        <i x="3" s="1"/>
        <i x="4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3" xr10:uid="{666EF0C7-939D-4DCF-B1AD-4648EDE8418C}" sourceName="Vendedor">
  <pivotTables>
    <pivotTable tabId="12" name="Tabela dinâmica15"/>
    <pivotTable tabId="12" name="Tabela dinâmica16"/>
    <pivotTable tabId="12" name="Tabela dinâmica17"/>
    <pivotTable tabId="12" name="Tabela dinâmica18"/>
    <pivotTable tabId="12" name="Tabela dinâmica29"/>
    <pivotTable tabId="12" name="Tabela dinâmica30"/>
  </pivotTables>
  <data>
    <tabular pivotCacheId="300431741">
      <items count="5">
        <i x="3" s="1"/>
        <i x="2" s="1"/>
        <i x="4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4" xr10:uid="{0483A50D-8D50-4861-84CF-4EEF31D52DB4}" cache="SegmentaçãodeDados_Mês3" caption="Mês" rowHeight="234950"/>
  <slicer name="Categoria 4" xr10:uid="{78501EA7-C60A-4828-A3DB-405A54E44076}" cache="SegmentaçãodeDados_Categoria3" caption="Categoria" rowHeight="234950"/>
  <slicer name="Região 4" xr10:uid="{FA9BF7E1-0693-49EE-8343-263B5E7D88D4}" cache="SegmentaçãodeDados_Região3" caption="Região" rowHeight="234950"/>
  <slicer name="Vendedor 4" xr10:uid="{737FF55B-23D7-4139-8DE8-4D43887142B2}" cache="SegmentaçãodeDados_Vendedor3" caption="Vendedor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C42BD4-97EB-4AF5-B69C-D71055C4347A}" name="Tabela2" displayName="Tabela2" ref="A1:M301" totalsRowShown="0" headerRowDxfId="6" headerRowBorderDxfId="5" tableBorderDxfId="4">
  <autoFilter ref="A1:M301" xr:uid="{80C42BD4-97EB-4AF5-B69C-D71055C4347A}"/>
  <sortState xmlns:xlrd2="http://schemas.microsoft.com/office/spreadsheetml/2017/richdata2" ref="A2:M301">
    <sortCondition ref="A1:A301"/>
  </sortState>
  <tableColumns count="13">
    <tableColumn id="1" xr3:uid="{B3C1D270-B53F-420D-B2C8-1DB5DECFA808}" name="Data" dataDxfId="3"/>
    <tableColumn id="11" xr3:uid="{F1582300-9DEC-4037-A622-13820C3BA2C5}" name="Mês" dataDxfId="2">
      <calculatedColumnFormula>TEXT(Tabela2[[#This Row],[Data]],"mmm")</calculatedColumnFormula>
    </tableColumn>
    <tableColumn id="13" xr3:uid="{47555DE4-36AF-4509-8AD3-20E416D44850}" name="Ano" dataDxfId="1">
      <calculatedColumnFormula>YEAR(Tabela2[[#This Row],[Data]])</calculatedColumnFormula>
    </tableColumn>
    <tableColumn id="12" xr3:uid="{0049ED81-E4AF-4125-9B56-4E81493CE52E}" name="Produto"/>
    <tableColumn id="3" xr3:uid="{2F0F3478-F25A-4071-BE99-9EA4AE4F52D0}" name="Categoria"/>
    <tableColumn id="4" xr3:uid="{822085B6-7740-4C27-B6A3-A81F4CA1DBD0}" name="Região"/>
    <tableColumn id="5" xr3:uid="{D1441CE9-6DDD-48D9-9D56-43C6C1131F3B}" name="Vendedor"/>
    <tableColumn id="6" xr3:uid="{E2C5A94C-2CF9-4FD4-9862-CE44EE27C63F}" name="Quantidade"/>
    <tableColumn id="7" xr3:uid="{EA48AFE2-5840-4B67-9647-38A6443CEFE4}" name="Preço Unitário" dataCellStyle="Moeda"/>
    <tableColumn id="8" xr3:uid="{F8241EFF-E984-4CF5-ABB3-99A133186289}" name="Receita" dataCellStyle="Moeda"/>
    <tableColumn id="9" xr3:uid="{2AA15F37-325C-4D06-9201-1EE3EDF855EE}" name="Custo" dataCellStyle="Moeda"/>
    <tableColumn id="10" xr3:uid="{8B0F9F79-AB40-46D1-9246-74FA673D40DB}" name="Lucro" dataCellStyle="Moeda"/>
    <tableColumn id="14" xr3:uid="{297AE3CC-306D-402F-AEEF-D985B1426864}" name="Margem de lucro" dataDxfId="0">
      <calculatedColumnFormula>Tabela2[[#This Row],[Lucro]]/Tabela2[[#This Row],[Receita]]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1"/>
  <sheetViews>
    <sheetView topLeftCell="F1" workbookViewId="0">
      <selection activeCell="O18" sqref="O18"/>
    </sheetView>
  </sheetViews>
  <sheetFormatPr defaultRowHeight="14.4" x14ac:dyDescent="0.3"/>
  <cols>
    <col min="1" max="1" width="18.109375" bestFit="1" customWidth="1"/>
    <col min="2" max="2" width="9" bestFit="1" customWidth="1"/>
    <col min="3" max="3" width="10.88671875" customWidth="1"/>
    <col min="4" max="4" width="12.33203125" bestFit="1" customWidth="1"/>
    <col min="5" max="5" width="13.44140625" bestFit="1" customWidth="1"/>
    <col min="6" max="6" width="14.88671875" customWidth="1"/>
    <col min="7" max="7" width="13.77734375" bestFit="1" customWidth="1"/>
    <col min="8" max="8" width="15.33203125" bestFit="1" customWidth="1"/>
    <col min="9" max="9" width="17.5546875" style="8" bestFit="1" customWidth="1"/>
    <col min="10" max="12" width="12.88671875" style="8" bestFit="1" customWidth="1"/>
    <col min="13" max="13" width="19.88671875" style="5" bestFit="1" customWidth="1"/>
    <col min="15" max="15" width="12.109375" bestFit="1" customWidth="1"/>
    <col min="16" max="16" width="21.77734375" bestFit="1" customWidth="1"/>
  </cols>
  <sheetData>
    <row r="1" spans="1:16" x14ac:dyDescent="0.3">
      <c r="A1" s="2" t="s">
        <v>0</v>
      </c>
      <c r="B1" s="3" t="s">
        <v>27</v>
      </c>
      <c r="C1" s="3" t="s">
        <v>28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4" t="s">
        <v>29</v>
      </c>
    </row>
    <row r="2" spans="1:16" x14ac:dyDescent="0.3">
      <c r="A2" s="1">
        <v>44927</v>
      </c>
      <c r="B2" t="str">
        <f>TEXT(Tabela2[[#This Row],[Data]],"mmm")</f>
        <v>jan</v>
      </c>
      <c r="C2">
        <f>YEAR(Tabela2[[#This Row],[Data]])</f>
        <v>2023</v>
      </c>
      <c r="D2" t="s">
        <v>26</v>
      </c>
      <c r="E2" t="s">
        <v>11</v>
      </c>
      <c r="F2" t="s">
        <v>19</v>
      </c>
      <c r="G2" t="s">
        <v>25</v>
      </c>
      <c r="H2">
        <v>9</v>
      </c>
      <c r="I2" s="8">
        <v>3047.4138803421702</v>
      </c>
      <c r="J2" s="8">
        <v>27426.724923079531</v>
      </c>
      <c r="K2" s="8">
        <v>16648.560028531829</v>
      </c>
      <c r="L2" s="8">
        <v>10778.164894547701</v>
      </c>
      <c r="M2" s="5">
        <f>Tabela2[[#This Row],[Lucro]]/Tabela2[[#This Row],[Receita]]</f>
        <v>0.39298038408799946</v>
      </c>
      <c r="O2" s="6" t="s">
        <v>26</v>
      </c>
      <c r="P2">
        <f>COUNTIF(D:D, "Notebook")</f>
        <v>61</v>
      </c>
    </row>
    <row r="3" spans="1:16" x14ac:dyDescent="0.3">
      <c r="A3" s="1">
        <v>44927</v>
      </c>
      <c r="B3" t="str">
        <f>TEXT(Tabela2[[#This Row],[Data]],"mmm")</f>
        <v>jan</v>
      </c>
      <c r="C3">
        <f>YEAR(Tabela2[[#This Row],[Data]])</f>
        <v>2023</v>
      </c>
      <c r="D3" t="s">
        <v>14</v>
      </c>
      <c r="E3" t="s">
        <v>15</v>
      </c>
      <c r="F3" t="s">
        <v>12</v>
      </c>
      <c r="G3" t="s">
        <v>17</v>
      </c>
      <c r="H3">
        <v>4</v>
      </c>
      <c r="I3" s="8">
        <v>198.34138829270091</v>
      </c>
      <c r="J3" s="8">
        <v>793.36555317080365</v>
      </c>
      <c r="K3" s="8">
        <v>556.55403210005977</v>
      </c>
      <c r="L3" s="8">
        <v>236.81152107074391</v>
      </c>
      <c r="M3" s="5">
        <f>Tabela2[[#This Row],[Lucro]]/Tabela2[[#This Row],[Receita]]</f>
        <v>0.29848979467824305</v>
      </c>
      <c r="O3" s="6" t="s">
        <v>23</v>
      </c>
      <c r="P3">
        <f>COUNTIF(D:D, "Headset")</f>
        <v>67</v>
      </c>
    </row>
    <row r="4" spans="1:16" x14ac:dyDescent="0.3">
      <c r="A4" s="1">
        <v>44929</v>
      </c>
      <c r="B4" t="str">
        <f>TEXT(Tabela2[[#This Row],[Data]],"mmm")</f>
        <v>jan</v>
      </c>
      <c r="C4">
        <f>YEAR(Tabela2[[#This Row],[Data]])</f>
        <v>2023</v>
      </c>
      <c r="D4" t="s">
        <v>26</v>
      </c>
      <c r="E4" t="s">
        <v>11</v>
      </c>
      <c r="F4" t="s">
        <v>19</v>
      </c>
      <c r="G4" t="s">
        <v>20</v>
      </c>
      <c r="H4">
        <v>2</v>
      </c>
      <c r="I4" s="8">
        <v>348.74281575329081</v>
      </c>
      <c r="J4" s="8">
        <v>697.48563150658163</v>
      </c>
      <c r="K4" s="8">
        <v>400.44810231955648</v>
      </c>
      <c r="L4" s="8">
        <v>297.03752918702509</v>
      </c>
      <c r="M4" s="5">
        <f>Tabela2[[#This Row],[Lucro]]/Tabela2[[#This Row],[Receita]]</f>
        <v>0.42586902979695601</v>
      </c>
      <c r="O4" s="6" t="s">
        <v>10</v>
      </c>
      <c r="P4">
        <f>COUNTIF(D:D, "Monitor")</f>
        <v>62</v>
      </c>
    </row>
    <row r="5" spans="1:16" x14ac:dyDescent="0.3">
      <c r="A5" s="1">
        <v>44931</v>
      </c>
      <c r="B5" t="str">
        <f>TEXT(Tabela2[[#This Row],[Data]],"mmm")</f>
        <v>jan</v>
      </c>
      <c r="C5">
        <f>YEAR(Tabela2[[#This Row],[Data]])</f>
        <v>2023</v>
      </c>
      <c r="D5" t="s">
        <v>10</v>
      </c>
      <c r="E5" t="s">
        <v>11</v>
      </c>
      <c r="F5" t="s">
        <v>19</v>
      </c>
      <c r="G5" t="s">
        <v>22</v>
      </c>
      <c r="H5">
        <v>9</v>
      </c>
      <c r="I5" s="8">
        <v>543.81558601816914</v>
      </c>
      <c r="J5" s="8">
        <v>4894.3402741635218</v>
      </c>
      <c r="K5" s="8">
        <v>2583.6181932756431</v>
      </c>
      <c r="L5" s="8">
        <v>2310.7220808878792</v>
      </c>
      <c r="M5" s="5">
        <f>Tabela2[[#This Row],[Lucro]]/Tabela2[[#This Row],[Receita]]</f>
        <v>0.47212125668618299</v>
      </c>
      <c r="O5" s="6" t="s">
        <v>18</v>
      </c>
      <c r="P5">
        <f>COUNTIF(D:D, "Mouse")</f>
        <v>58</v>
      </c>
    </row>
    <row r="6" spans="1:16" x14ac:dyDescent="0.3">
      <c r="A6" s="1">
        <v>44931</v>
      </c>
      <c r="B6" t="str">
        <f>TEXT(Tabela2[[#This Row],[Data]],"mmm")</f>
        <v>jan</v>
      </c>
      <c r="C6">
        <f>YEAR(Tabela2[[#This Row],[Data]])</f>
        <v>2023</v>
      </c>
      <c r="D6" t="s">
        <v>23</v>
      </c>
      <c r="E6" t="s">
        <v>15</v>
      </c>
      <c r="F6" t="s">
        <v>21</v>
      </c>
      <c r="G6" t="s">
        <v>22</v>
      </c>
      <c r="H6">
        <v>3</v>
      </c>
      <c r="I6" s="8">
        <v>485.87377649566599</v>
      </c>
      <c r="J6" s="8">
        <v>1457.6213294869981</v>
      </c>
      <c r="K6" s="8">
        <v>958.3997990354485</v>
      </c>
      <c r="L6" s="8">
        <v>499.2215304515496</v>
      </c>
      <c r="M6" s="5">
        <f>Tabela2[[#This Row],[Lucro]]/Tabela2[[#This Row],[Receita]]</f>
        <v>0.3424905497419195</v>
      </c>
      <c r="O6" s="6" t="s">
        <v>14</v>
      </c>
      <c r="P6">
        <f>COUNTIF(D:D, "Teclado")</f>
        <v>52</v>
      </c>
    </row>
    <row r="7" spans="1:16" x14ac:dyDescent="0.3">
      <c r="A7" s="1">
        <v>44935</v>
      </c>
      <c r="B7" t="str">
        <f>TEXT(Tabela2[[#This Row],[Data]],"mmm")</f>
        <v>jan</v>
      </c>
      <c r="C7">
        <f>YEAR(Tabela2[[#This Row],[Data]])</f>
        <v>2023</v>
      </c>
      <c r="D7" t="s">
        <v>26</v>
      </c>
      <c r="E7" t="s">
        <v>11</v>
      </c>
      <c r="F7" t="s">
        <v>12</v>
      </c>
      <c r="G7" t="s">
        <v>13</v>
      </c>
      <c r="H7">
        <v>2</v>
      </c>
      <c r="I7" s="8">
        <v>2071.8434046999591</v>
      </c>
      <c r="J7" s="8">
        <v>4143.6868093999174</v>
      </c>
      <c r="K7" s="8">
        <v>2535.1347522875808</v>
      </c>
      <c r="L7" s="8">
        <v>1608.5520571123359</v>
      </c>
      <c r="M7" s="5">
        <f>Tabela2[[#This Row],[Lucro]]/Tabela2[[#This Row],[Receita]]</f>
        <v>0.38819344489630575</v>
      </c>
    </row>
    <row r="8" spans="1:16" x14ac:dyDescent="0.3">
      <c r="A8" s="1">
        <v>44936</v>
      </c>
      <c r="B8" t="str">
        <f>TEXT(Tabela2[[#This Row],[Data]],"mmm")</f>
        <v>jan</v>
      </c>
      <c r="C8">
        <f>YEAR(Tabela2[[#This Row],[Data]])</f>
        <v>2023</v>
      </c>
      <c r="D8" t="s">
        <v>18</v>
      </c>
      <c r="E8" t="s">
        <v>15</v>
      </c>
      <c r="F8" t="s">
        <v>16</v>
      </c>
      <c r="G8" t="s">
        <v>17</v>
      </c>
      <c r="H8">
        <v>5</v>
      </c>
      <c r="I8" s="8">
        <v>40.566240107856572</v>
      </c>
      <c r="J8" s="8">
        <v>202.8312005392828</v>
      </c>
      <c r="K8" s="8">
        <v>124.323155268522</v>
      </c>
      <c r="L8" s="8">
        <v>78.508045270760832</v>
      </c>
      <c r="M8" s="5">
        <f>Tabela2[[#This Row],[Lucro]]/Tabela2[[#This Row],[Receita]]</f>
        <v>0.38706098993658516</v>
      </c>
      <c r="O8" s="6" t="s">
        <v>16</v>
      </c>
      <c r="P8">
        <f>COUNTIF(F:F, "Norte")</f>
        <v>58</v>
      </c>
    </row>
    <row r="9" spans="1:16" x14ac:dyDescent="0.3">
      <c r="A9" s="1">
        <v>44937</v>
      </c>
      <c r="B9" t="str">
        <f>TEXT(Tabela2[[#This Row],[Data]],"mmm")</f>
        <v>jan</v>
      </c>
      <c r="C9">
        <f>YEAR(Tabela2[[#This Row],[Data]])</f>
        <v>2023</v>
      </c>
      <c r="D9" t="s">
        <v>18</v>
      </c>
      <c r="E9" t="s">
        <v>15</v>
      </c>
      <c r="F9" t="s">
        <v>24</v>
      </c>
      <c r="G9" t="s">
        <v>13</v>
      </c>
      <c r="H9">
        <v>7</v>
      </c>
      <c r="I9" s="8">
        <v>46.697926440012708</v>
      </c>
      <c r="J9" s="8">
        <v>326.88548508008898</v>
      </c>
      <c r="K9" s="8">
        <v>244.90141293380759</v>
      </c>
      <c r="L9" s="8">
        <v>81.984072146281363</v>
      </c>
      <c r="M9" s="5">
        <f>Tabela2[[#This Row],[Lucro]]/Tabela2[[#This Row],[Receita]]</f>
        <v>0.25080364803042493</v>
      </c>
      <c r="O9" s="6" t="s">
        <v>21</v>
      </c>
      <c r="P9">
        <f>COUNTIF(F:F, "Sul")</f>
        <v>62</v>
      </c>
    </row>
    <row r="10" spans="1:16" x14ac:dyDescent="0.3">
      <c r="A10" s="1">
        <v>44938</v>
      </c>
      <c r="B10" t="str">
        <f>TEXT(Tabela2[[#This Row],[Data]],"mmm")</f>
        <v>jan</v>
      </c>
      <c r="C10">
        <f>YEAR(Tabela2[[#This Row],[Data]])</f>
        <v>2023</v>
      </c>
      <c r="D10" t="s">
        <v>26</v>
      </c>
      <c r="E10" t="s">
        <v>11</v>
      </c>
      <c r="F10" t="s">
        <v>24</v>
      </c>
      <c r="G10" t="s">
        <v>20</v>
      </c>
      <c r="H10">
        <v>3</v>
      </c>
      <c r="I10" s="8">
        <v>3387.803841724789</v>
      </c>
      <c r="J10" s="8">
        <v>10163.41152517437</v>
      </c>
      <c r="K10" s="8">
        <v>6705.2534094063039</v>
      </c>
      <c r="L10" s="8">
        <v>3458.1581157680639</v>
      </c>
      <c r="M10" s="5">
        <f>Tabela2[[#This Row],[Lucro]]/Tabela2[[#This Row],[Receita]]</f>
        <v>0.34025564223217203</v>
      </c>
      <c r="O10" s="6" t="s">
        <v>24</v>
      </c>
      <c r="P10">
        <f>COUNTIF(F:F, "Sudeste")</f>
        <v>63</v>
      </c>
    </row>
    <row r="11" spans="1:16" x14ac:dyDescent="0.3">
      <c r="A11" s="1">
        <v>44938</v>
      </c>
      <c r="B11" t="str">
        <f>TEXT(Tabela2[[#This Row],[Data]],"mmm")</f>
        <v>jan</v>
      </c>
      <c r="C11">
        <f>YEAR(Tabela2[[#This Row],[Data]])</f>
        <v>2023</v>
      </c>
      <c r="D11" t="s">
        <v>18</v>
      </c>
      <c r="E11" t="s">
        <v>15</v>
      </c>
      <c r="F11" t="s">
        <v>19</v>
      </c>
      <c r="G11" t="s">
        <v>25</v>
      </c>
      <c r="H11">
        <v>5</v>
      </c>
      <c r="I11" s="8">
        <v>236.3573227252835</v>
      </c>
      <c r="J11" s="8">
        <v>1181.786613626417</v>
      </c>
      <c r="K11" s="8">
        <v>657.58902730363411</v>
      </c>
      <c r="L11" s="8">
        <v>524.19758632278331</v>
      </c>
      <c r="M11" s="5">
        <f>Tabela2[[#This Row],[Lucro]]/Tabela2[[#This Row],[Receita]]</f>
        <v>0.44356365208287185</v>
      </c>
      <c r="O11" s="6" t="s">
        <v>19</v>
      </c>
      <c r="P11">
        <f>COUNTIF(F:F, "Nordeste")</f>
        <v>65</v>
      </c>
    </row>
    <row r="12" spans="1:16" x14ac:dyDescent="0.3">
      <c r="A12" s="1">
        <v>44938</v>
      </c>
      <c r="B12" t="str">
        <f>TEXT(Tabela2[[#This Row],[Data]],"mmm")</f>
        <v>jan</v>
      </c>
      <c r="C12">
        <f>YEAR(Tabela2[[#This Row],[Data]])</f>
        <v>2023</v>
      </c>
      <c r="D12" t="s">
        <v>18</v>
      </c>
      <c r="E12" t="s">
        <v>15</v>
      </c>
      <c r="F12" t="s">
        <v>12</v>
      </c>
      <c r="G12" t="s">
        <v>13</v>
      </c>
      <c r="H12">
        <v>1</v>
      </c>
      <c r="I12" s="8">
        <v>456.678563600887</v>
      </c>
      <c r="J12" s="8">
        <v>456.678563600887</v>
      </c>
      <c r="K12" s="8">
        <v>244.21030363536201</v>
      </c>
      <c r="L12" s="8">
        <v>212.46825996552499</v>
      </c>
      <c r="M12" s="5">
        <f>Tabela2[[#This Row],[Lucro]]/Tabela2[[#This Row],[Receita]]</f>
        <v>0.46524684296592267</v>
      </c>
      <c r="O12" s="6" t="s">
        <v>12</v>
      </c>
      <c r="P12">
        <f>COUNTIF(F:F, "Centro-Oeste")</f>
        <v>52</v>
      </c>
    </row>
    <row r="13" spans="1:16" x14ac:dyDescent="0.3">
      <c r="A13" s="1">
        <v>44940</v>
      </c>
      <c r="B13" t="str">
        <f>TEXT(Tabela2[[#This Row],[Data]],"mmm")</f>
        <v>jan</v>
      </c>
      <c r="C13">
        <f>YEAR(Tabela2[[#This Row],[Data]])</f>
        <v>2023</v>
      </c>
      <c r="D13" t="s">
        <v>23</v>
      </c>
      <c r="E13" t="s">
        <v>15</v>
      </c>
      <c r="F13" t="s">
        <v>12</v>
      </c>
      <c r="G13" t="s">
        <v>17</v>
      </c>
      <c r="H13">
        <v>7</v>
      </c>
      <c r="I13" s="8">
        <v>344.60011858021397</v>
      </c>
      <c r="J13" s="8">
        <v>2412.200830061498</v>
      </c>
      <c r="K13" s="8">
        <v>1554.430043666742</v>
      </c>
      <c r="L13" s="8">
        <v>857.77078639475621</v>
      </c>
      <c r="M13" s="5">
        <f>Tabela2[[#This Row],[Lucro]]/Tabela2[[#This Row],[Receita]]</f>
        <v>0.35559675450940281</v>
      </c>
    </row>
    <row r="14" spans="1:16" x14ac:dyDescent="0.3">
      <c r="A14" s="1">
        <v>44941</v>
      </c>
      <c r="B14" t="str">
        <f>TEXT(Tabela2[[#This Row],[Data]],"mmm")</f>
        <v>jan</v>
      </c>
      <c r="C14">
        <f>YEAR(Tabela2[[#This Row],[Data]])</f>
        <v>2023</v>
      </c>
      <c r="D14" t="s">
        <v>18</v>
      </c>
      <c r="E14" t="s">
        <v>15</v>
      </c>
      <c r="F14" t="s">
        <v>12</v>
      </c>
      <c r="G14" t="s">
        <v>13</v>
      </c>
      <c r="H14">
        <v>1</v>
      </c>
      <c r="I14" s="8">
        <v>528.30012379319032</v>
      </c>
      <c r="J14" s="8">
        <v>528.30012379319032</v>
      </c>
      <c r="K14" s="8">
        <v>322.55781579968959</v>
      </c>
      <c r="L14" s="8">
        <v>205.7423079935007</v>
      </c>
      <c r="M14" s="5">
        <f>Tabela2[[#This Row],[Lucro]]/Tabela2[[#This Row],[Receita]]</f>
        <v>0.38944209688287162</v>
      </c>
    </row>
    <row r="15" spans="1:16" x14ac:dyDescent="0.3">
      <c r="A15" s="1">
        <v>44942</v>
      </c>
      <c r="B15" t="str">
        <f>TEXT(Tabela2[[#This Row],[Data]],"mmm")</f>
        <v>jan</v>
      </c>
      <c r="C15">
        <f>YEAR(Tabela2[[#This Row],[Data]])</f>
        <v>2023</v>
      </c>
      <c r="D15" t="s">
        <v>23</v>
      </c>
      <c r="E15" t="s">
        <v>15</v>
      </c>
      <c r="F15" t="s">
        <v>24</v>
      </c>
      <c r="G15" t="s">
        <v>25</v>
      </c>
      <c r="H15">
        <v>2</v>
      </c>
      <c r="I15" s="8">
        <v>39.032609614099663</v>
      </c>
      <c r="J15" s="8">
        <v>78.065219228199311</v>
      </c>
      <c r="K15" s="8">
        <v>59.409947416485288</v>
      </c>
      <c r="L15" s="8">
        <v>18.655271811714019</v>
      </c>
      <c r="M15" s="5">
        <f>Tabela2[[#This Row],[Lucro]]/Tabela2[[#This Row],[Receita]]</f>
        <v>0.23897033782972099</v>
      </c>
      <c r="O15" s="12">
        <f>AVERAGE(M:M)</f>
        <v>0.35137443835532112</v>
      </c>
      <c r="P15" s="9" t="s">
        <v>51</v>
      </c>
    </row>
    <row r="16" spans="1:16" x14ac:dyDescent="0.3">
      <c r="A16" s="1">
        <v>44943</v>
      </c>
      <c r="B16" t="str">
        <f>TEXT(Tabela2[[#This Row],[Data]],"mmm")</f>
        <v>jan</v>
      </c>
      <c r="C16">
        <f>YEAR(Tabela2[[#This Row],[Data]])</f>
        <v>2023</v>
      </c>
      <c r="D16" t="s">
        <v>18</v>
      </c>
      <c r="E16" t="s">
        <v>15</v>
      </c>
      <c r="F16" t="s">
        <v>21</v>
      </c>
      <c r="G16" t="s">
        <v>22</v>
      </c>
      <c r="H16">
        <v>8</v>
      </c>
      <c r="I16" s="8">
        <v>611.54608287763153</v>
      </c>
      <c r="J16" s="8">
        <v>4892.3686630210523</v>
      </c>
      <c r="K16" s="8">
        <v>3383.9771165302982</v>
      </c>
      <c r="L16" s="8">
        <v>1508.3915464907541</v>
      </c>
      <c r="M16" s="5">
        <f>Tabela2[[#This Row],[Lucro]]/Tabela2[[#This Row],[Receita]]</f>
        <v>0.30831518439972139</v>
      </c>
    </row>
    <row r="17" spans="1:16" x14ac:dyDescent="0.3">
      <c r="A17" s="1">
        <v>44946</v>
      </c>
      <c r="B17" t="str">
        <f>TEXT(Tabela2[[#This Row],[Data]],"mmm")</f>
        <v>jan</v>
      </c>
      <c r="C17">
        <f>YEAR(Tabela2[[#This Row],[Data]])</f>
        <v>2023</v>
      </c>
      <c r="D17" t="s">
        <v>26</v>
      </c>
      <c r="E17" t="s">
        <v>11</v>
      </c>
      <c r="F17" t="s">
        <v>19</v>
      </c>
      <c r="G17" t="s">
        <v>22</v>
      </c>
      <c r="H17">
        <v>6</v>
      </c>
      <c r="I17" s="8">
        <v>2927.1291960419312</v>
      </c>
      <c r="J17" s="8">
        <v>17562.77517625158</v>
      </c>
      <c r="K17" s="8">
        <v>9594.6988873127575</v>
      </c>
      <c r="L17" s="8">
        <v>7968.0762889388261</v>
      </c>
      <c r="M17" s="5">
        <f>Tabela2[[#This Row],[Lucro]]/Tabela2[[#This Row],[Receita]]</f>
        <v>0.4536911854177394</v>
      </c>
    </row>
    <row r="18" spans="1:16" x14ac:dyDescent="0.3">
      <c r="A18" s="1">
        <v>44947</v>
      </c>
      <c r="B18" t="str">
        <f>TEXT(Tabela2[[#This Row],[Data]],"mmm")</f>
        <v>jan</v>
      </c>
      <c r="C18">
        <f>YEAR(Tabela2[[#This Row],[Data]])</f>
        <v>2023</v>
      </c>
      <c r="D18" t="s">
        <v>14</v>
      </c>
      <c r="E18" t="s">
        <v>15</v>
      </c>
      <c r="F18" t="s">
        <v>12</v>
      </c>
      <c r="G18" t="s">
        <v>25</v>
      </c>
      <c r="H18">
        <v>9</v>
      </c>
      <c r="I18" s="8">
        <v>530.6606035164516</v>
      </c>
      <c r="J18" s="8">
        <v>4775.9454316480642</v>
      </c>
      <c r="K18" s="8">
        <v>2932.53725021739</v>
      </c>
      <c r="L18" s="8">
        <v>1843.4081814306739</v>
      </c>
      <c r="M18" s="5">
        <f>Tabela2[[#This Row],[Lucro]]/Tabela2[[#This Row],[Receita]]</f>
        <v>0.38597764731883838</v>
      </c>
      <c r="O18" s="8">
        <f>SUM(Tabela2[Receita]) / COUNTA(Tabela2[Receita])</f>
        <v>4232.1074649186739</v>
      </c>
      <c r="P18" t="s">
        <v>50</v>
      </c>
    </row>
    <row r="19" spans="1:16" x14ac:dyDescent="0.3">
      <c r="A19" s="1">
        <v>44948</v>
      </c>
      <c r="B19" t="str">
        <f>TEXT(Tabela2[[#This Row],[Data]],"mmm")</f>
        <v>jan</v>
      </c>
      <c r="C19">
        <f>YEAR(Tabela2[[#This Row],[Data]])</f>
        <v>2023</v>
      </c>
      <c r="D19" t="s">
        <v>23</v>
      </c>
      <c r="E19" t="s">
        <v>15</v>
      </c>
      <c r="F19" t="s">
        <v>16</v>
      </c>
      <c r="G19" t="s">
        <v>13</v>
      </c>
      <c r="H19">
        <v>2</v>
      </c>
      <c r="I19" s="8">
        <v>293.06115800184699</v>
      </c>
      <c r="J19" s="8">
        <v>586.1223160036941</v>
      </c>
      <c r="K19" s="8">
        <v>406.49400098638432</v>
      </c>
      <c r="L19" s="8">
        <v>179.6283150173098</v>
      </c>
      <c r="M19" s="5">
        <f>Tabela2[[#This Row],[Lucro]]/Tabela2[[#This Row],[Receita]]</f>
        <v>0.30646899139083056</v>
      </c>
    </row>
    <row r="20" spans="1:16" x14ac:dyDescent="0.3">
      <c r="A20" s="1">
        <v>44951</v>
      </c>
      <c r="B20" t="str">
        <f>TEXT(Tabela2[[#This Row],[Data]],"mmm")</f>
        <v>jan</v>
      </c>
      <c r="C20">
        <f>YEAR(Tabela2[[#This Row],[Data]])</f>
        <v>2023</v>
      </c>
      <c r="D20" t="s">
        <v>23</v>
      </c>
      <c r="E20" t="s">
        <v>15</v>
      </c>
      <c r="F20" t="s">
        <v>12</v>
      </c>
      <c r="G20" t="s">
        <v>20</v>
      </c>
      <c r="H20">
        <v>8</v>
      </c>
      <c r="I20" s="8">
        <v>393.02253797749643</v>
      </c>
      <c r="J20" s="8">
        <v>3144.180303819971</v>
      </c>
      <c r="K20" s="8">
        <v>2049.478173579078</v>
      </c>
      <c r="L20" s="8">
        <v>1094.702130240893</v>
      </c>
      <c r="M20" s="5">
        <f>Tabela2[[#This Row],[Lucro]]/Tabela2[[#This Row],[Receita]]</f>
        <v>0.34816773354597458</v>
      </c>
    </row>
    <row r="21" spans="1:16" x14ac:dyDescent="0.3">
      <c r="A21" s="1">
        <v>44951</v>
      </c>
      <c r="B21" t="str">
        <f>TEXT(Tabela2[[#This Row],[Data]],"mmm")</f>
        <v>jan</v>
      </c>
      <c r="C21">
        <f>YEAR(Tabela2[[#This Row],[Data]])</f>
        <v>2023</v>
      </c>
      <c r="D21" t="s">
        <v>23</v>
      </c>
      <c r="E21" t="s">
        <v>15</v>
      </c>
      <c r="F21" t="s">
        <v>16</v>
      </c>
      <c r="G21" t="s">
        <v>20</v>
      </c>
      <c r="H21">
        <v>3</v>
      </c>
      <c r="I21" s="8">
        <v>781.17489953892243</v>
      </c>
      <c r="J21" s="8">
        <v>2343.5246986167672</v>
      </c>
      <c r="K21" s="8">
        <v>1408.619431971076</v>
      </c>
      <c r="L21" s="8">
        <v>934.90526664569143</v>
      </c>
      <c r="M21" s="5">
        <f>Tabela2[[#This Row],[Lucro]]/Tabela2[[#This Row],[Receita]]</f>
        <v>0.39893126246866789</v>
      </c>
    </row>
    <row r="22" spans="1:16" x14ac:dyDescent="0.3">
      <c r="A22" s="1">
        <v>44951</v>
      </c>
      <c r="B22" t="str">
        <f>TEXT(Tabela2[[#This Row],[Data]],"mmm")</f>
        <v>jan</v>
      </c>
      <c r="C22">
        <f>YEAR(Tabela2[[#This Row],[Data]])</f>
        <v>2023</v>
      </c>
      <c r="D22" t="s">
        <v>14</v>
      </c>
      <c r="E22" t="s">
        <v>15</v>
      </c>
      <c r="F22" t="s">
        <v>16</v>
      </c>
      <c r="G22" t="s">
        <v>20</v>
      </c>
      <c r="H22">
        <v>5</v>
      </c>
      <c r="I22" s="8">
        <v>21.82472468810704</v>
      </c>
      <c r="J22" s="8">
        <v>109.1236234405352</v>
      </c>
      <c r="K22" s="8">
        <v>86.241470812971542</v>
      </c>
      <c r="L22" s="8">
        <v>22.88215262756367</v>
      </c>
      <c r="M22" s="5">
        <f>Tabela2[[#This Row],[Lucro]]/Tabela2[[#This Row],[Receita]]</f>
        <v>0.20969018353787394</v>
      </c>
    </row>
    <row r="23" spans="1:16" x14ac:dyDescent="0.3">
      <c r="A23" s="1">
        <v>44953</v>
      </c>
      <c r="B23" t="str">
        <f>TEXT(Tabela2[[#This Row],[Data]],"mmm")</f>
        <v>jan</v>
      </c>
      <c r="C23">
        <f>YEAR(Tabela2[[#This Row],[Data]])</f>
        <v>2023</v>
      </c>
      <c r="D23" t="s">
        <v>23</v>
      </c>
      <c r="E23" t="s">
        <v>15</v>
      </c>
      <c r="F23" t="s">
        <v>24</v>
      </c>
      <c r="G23" t="s">
        <v>13</v>
      </c>
      <c r="H23">
        <v>6</v>
      </c>
      <c r="I23" s="8">
        <v>200.04676754012939</v>
      </c>
      <c r="J23" s="8">
        <v>1200.280605240777</v>
      </c>
      <c r="K23" s="8">
        <v>764.64787385633531</v>
      </c>
      <c r="L23" s="8">
        <v>435.63273138444129</v>
      </c>
      <c r="M23" s="5">
        <f>Tabela2[[#This Row],[Lucro]]/Tabela2[[#This Row],[Receita]]</f>
        <v>0.36294240653588922</v>
      </c>
    </row>
    <row r="24" spans="1:16" x14ac:dyDescent="0.3">
      <c r="A24" s="1">
        <v>44954</v>
      </c>
      <c r="B24" t="str">
        <f>TEXT(Tabela2[[#This Row],[Data]],"mmm")</f>
        <v>jan</v>
      </c>
      <c r="C24">
        <f>YEAR(Tabela2[[#This Row],[Data]])</f>
        <v>2023</v>
      </c>
      <c r="D24" t="s">
        <v>26</v>
      </c>
      <c r="E24" t="s">
        <v>11</v>
      </c>
      <c r="F24" t="s">
        <v>19</v>
      </c>
      <c r="G24" t="s">
        <v>20</v>
      </c>
      <c r="H24">
        <v>1</v>
      </c>
      <c r="I24" s="8">
        <v>364.613833915817</v>
      </c>
      <c r="J24" s="8">
        <v>364.613833915817</v>
      </c>
      <c r="K24" s="8">
        <v>216.32345393814541</v>
      </c>
      <c r="L24" s="8">
        <v>148.29037997767159</v>
      </c>
      <c r="M24" s="5">
        <f>Tabela2[[#This Row],[Lucro]]/Tabela2[[#This Row],[Receita]]</f>
        <v>0.40670530348530126</v>
      </c>
    </row>
    <row r="25" spans="1:16" x14ac:dyDescent="0.3">
      <c r="A25" s="1">
        <v>44955</v>
      </c>
      <c r="B25" t="str">
        <f>TEXT(Tabela2[[#This Row],[Data]],"mmm")</f>
        <v>jan</v>
      </c>
      <c r="C25">
        <f>YEAR(Tabela2[[#This Row],[Data]])</f>
        <v>2023</v>
      </c>
      <c r="D25" t="s">
        <v>26</v>
      </c>
      <c r="E25" t="s">
        <v>11</v>
      </c>
      <c r="F25" t="s">
        <v>12</v>
      </c>
      <c r="G25" t="s">
        <v>17</v>
      </c>
      <c r="H25">
        <v>9</v>
      </c>
      <c r="I25" s="8">
        <v>2924.7481757752721</v>
      </c>
      <c r="J25" s="8">
        <v>26322.733581977449</v>
      </c>
      <c r="K25" s="8">
        <v>15306.829918131871</v>
      </c>
      <c r="L25" s="8">
        <v>11015.90366384558</v>
      </c>
      <c r="M25" s="5">
        <f>Tabela2[[#This Row],[Lucro]]/Tabela2[[#This Row],[Receita]]</f>
        <v>0.4184939086792987</v>
      </c>
    </row>
    <row r="26" spans="1:16" x14ac:dyDescent="0.3">
      <c r="A26" s="1">
        <v>44955</v>
      </c>
      <c r="B26" t="str">
        <f>TEXT(Tabela2[[#This Row],[Data]],"mmm")</f>
        <v>jan</v>
      </c>
      <c r="C26">
        <f>YEAR(Tabela2[[#This Row],[Data]])</f>
        <v>2023</v>
      </c>
      <c r="D26" t="s">
        <v>23</v>
      </c>
      <c r="E26" t="s">
        <v>15</v>
      </c>
      <c r="F26" t="s">
        <v>16</v>
      </c>
      <c r="G26" t="s">
        <v>17</v>
      </c>
      <c r="H26">
        <v>1</v>
      </c>
      <c r="I26" s="8">
        <v>706.68077553796513</v>
      </c>
      <c r="J26" s="8">
        <v>706.68077553796513</v>
      </c>
      <c r="K26" s="8">
        <v>403.51865063786403</v>
      </c>
      <c r="L26" s="8">
        <v>303.16212490010111</v>
      </c>
      <c r="M26" s="5">
        <f>Tabela2[[#This Row],[Lucro]]/Tabela2[[#This Row],[Receita]]</f>
        <v>0.42899444189537639</v>
      </c>
    </row>
    <row r="27" spans="1:16" x14ac:dyDescent="0.3">
      <c r="A27" s="1">
        <v>44955</v>
      </c>
      <c r="B27" t="str">
        <f>TEXT(Tabela2[[#This Row],[Data]],"mmm")</f>
        <v>jan</v>
      </c>
      <c r="C27">
        <f>YEAR(Tabela2[[#This Row],[Data]])</f>
        <v>2023</v>
      </c>
      <c r="D27" t="s">
        <v>10</v>
      </c>
      <c r="E27" t="s">
        <v>11</v>
      </c>
      <c r="F27" t="s">
        <v>12</v>
      </c>
      <c r="G27" t="s">
        <v>13</v>
      </c>
      <c r="H27">
        <v>3</v>
      </c>
      <c r="I27" s="8">
        <v>145.75260405812341</v>
      </c>
      <c r="J27" s="8">
        <v>437.25781217437032</v>
      </c>
      <c r="K27" s="8">
        <v>340.58417452127372</v>
      </c>
      <c r="L27" s="8">
        <v>96.673637653096591</v>
      </c>
      <c r="M27" s="5">
        <f>Tabela2[[#This Row],[Lucro]]/Tabela2[[#This Row],[Receita]]</f>
        <v>0.22109070429722805</v>
      </c>
    </row>
    <row r="28" spans="1:16" x14ac:dyDescent="0.3">
      <c r="A28" s="1">
        <v>44959</v>
      </c>
      <c r="B28" t="str">
        <f>TEXT(Tabela2[[#This Row],[Data]],"mmm")</f>
        <v>fev</v>
      </c>
      <c r="C28">
        <f>YEAR(Tabela2[[#This Row],[Data]])</f>
        <v>2023</v>
      </c>
      <c r="D28" t="s">
        <v>14</v>
      </c>
      <c r="E28" t="s">
        <v>15</v>
      </c>
      <c r="F28" t="s">
        <v>16</v>
      </c>
      <c r="G28" t="s">
        <v>20</v>
      </c>
      <c r="H28">
        <v>7</v>
      </c>
      <c r="I28" s="8">
        <v>367.80411097386371</v>
      </c>
      <c r="J28" s="8">
        <v>2574.6287768170459</v>
      </c>
      <c r="K28" s="8">
        <v>1498.6605151425099</v>
      </c>
      <c r="L28" s="8">
        <v>1075.9682616745361</v>
      </c>
      <c r="M28" s="5">
        <f>Tabela2[[#This Row],[Lucro]]/Tabela2[[#This Row],[Receita]]</f>
        <v>0.41791200011550045</v>
      </c>
    </row>
    <row r="29" spans="1:16" x14ac:dyDescent="0.3">
      <c r="A29" s="1">
        <v>44960</v>
      </c>
      <c r="B29" t="str">
        <f>TEXT(Tabela2[[#This Row],[Data]],"mmm")</f>
        <v>fev</v>
      </c>
      <c r="C29">
        <f>YEAR(Tabela2[[#This Row],[Data]])</f>
        <v>2023</v>
      </c>
      <c r="D29" t="s">
        <v>26</v>
      </c>
      <c r="E29" t="s">
        <v>11</v>
      </c>
      <c r="F29" t="s">
        <v>19</v>
      </c>
      <c r="G29" t="s">
        <v>13</v>
      </c>
      <c r="H29">
        <v>9</v>
      </c>
      <c r="I29" s="8">
        <v>1720.361827665994</v>
      </c>
      <c r="J29" s="8">
        <v>15483.25644899395</v>
      </c>
      <c r="K29" s="8">
        <v>11920.46963359682</v>
      </c>
      <c r="L29" s="8">
        <v>3562.786815397134</v>
      </c>
      <c r="M29" s="5">
        <f>Tabela2[[#This Row],[Lucro]]/Tabela2[[#This Row],[Receita]]</f>
        <v>0.23010578085649622</v>
      </c>
    </row>
    <row r="30" spans="1:16" x14ac:dyDescent="0.3">
      <c r="A30" s="1">
        <v>44962</v>
      </c>
      <c r="B30" t="str">
        <f>TEXT(Tabela2[[#This Row],[Data]],"mmm")</f>
        <v>fev</v>
      </c>
      <c r="C30">
        <f>YEAR(Tabela2[[#This Row],[Data]])</f>
        <v>2023</v>
      </c>
      <c r="D30" t="s">
        <v>23</v>
      </c>
      <c r="E30" t="s">
        <v>15</v>
      </c>
      <c r="F30" t="s">
        <v>19</v>
      </c>
      <c r="G30" t="s">
        <v>20</v>
      </c>
      <c r="H30">
        <v>2</v>
      </c>
      <c r="I30" s="8">
        <v>730.28672276143709</v>
      </c>
      <c r="J30" s="8">
        <v>1460.573445522874</v>
      </c>
      <c r="K30" s="8">
        <v>1004.039639444505</v>
      </c>
      <c r="L30" s="8">
        <v>456.53380607836959</v>
      </c>
      <c r="M30" s="5">
        <f>Tabela2[[#This Row],[Lucro]]/Tabela2[[#This Row],[Receita]]</f>
        <v>0.31257161868702471</v>
      </c>
    </row>
    <row r="31" spans="1:16" x14ac:dyDescent="0.3">
      <c r="A31" s="1">
        <v>44962</v>
      </c>
      <c r="B31" t="str">
        <f>TEXT(Tabela2[[#This Row],[Data]],"mmm")</f>
        <v>fev</v>
      </c>
      <c r="C31">
        <f>YEAR(Tabela2[[#This Row],[Data]])</f>
        <v>2023</v>
      </c>
      <c r="D31" t="s">
        <v>23</v>
      </c>
      <c r="E31" t="s">
        <v>15</v>
      </c>
      <c r="F31" t="s">
        <v>21</v>
      </c>
      <c r="G31" t="s">
        <v>25</v>
      </c>
      <c r="H31">
        <v>3</v>
      </c>
      <c r="I31" s="8">
        <v>332.92657295040652</v>
      </c>
      <c r="J31" s="8">
        <v>998.7797188512194</v>
      </c>
      <c r="K31" s="8">
        <v>609.3423463112847</v>
      </c>
      <c r="L31" s="8">
        <v>389.4373725399347</v>
      </c>
      <c r="M31" s="5">
        <f>Tabela2[[#This Row],[Lucro]]/Tabela2[[#This Row],[Receita]]</f>
        <v>0.38991317623855976</v>
      </c>
    </row>
    <row r="32" spans="1:16" x14ac:dyDescent="0.3">
      <c r="A32" s="1">
        <v>44963</v>
      </c>
      <c r="B32" t="str">
        <f>TEXT(Tabela2[[#This Row],[Data]],"mmm")</f>
        <v>fev</v>
      </c>
      <c r="C32">
        <f>YEAR(Tabela2[[#This Row],[Data]])</f>
        <v>2023</v>
      </c>
      <c r="D32" t="s">
        <v>26</v>
      </c>
      <c r="E32" t="s">
        <v>11</v>
      </c>
      <c r="F32" t="s">
        <v>16</v>
      </c>
      <c r="G32" t="s">
        <v>13</v>
      </c>
      <c r="H32">
        <v>3</v>
      </c>
      <c r="I32" s="8">
        <v>3417.129800034892</v>
      </c>
      <c r="J32" s="8">
        <v>10251.389400104679</v>
      </c>
      <c r="K32" s="8">
        <v>5347.7349014064011</v>
      </c>
      <c r="L32" s="8">
        <v>4903.6544986982744</v>
      </c>
      <c r="M32" s="5">
        <f>Tabela2[[#This Row],[Lucro]]/Tabela2[[#This Row],[Receita]]</f>
        <v>0.47834047730624712</v>
      </c>
    </row>
    <row r="33" spans="1:13" x14ac:dyDescent="0.3">
      <c r="A33" s="1">
        <v>44965</v>
      </c>
      <c r="B33" t="str">
        <f>TEXT(Tabela2[[#This Row],[Data]],"mmm")</f>
        <v>fev</v>
      </c>
      <c r="C33">
        <f>YEAR(Tabela2[[#This Row],[Data]])</f>
        <v>2023</v>
      </c>
      <c r="D33" t="s">
        <v>26</v>
      </c>
      <c r="E33" t="s">
        <v>11</v>
      </c>
      <c r="F33" t="s">
        <v>21</v>
      </c>
      <c r="G33" t="s">
        <v>20</v>
      </c>
      <c r="H33">
        <v>9</v>
      </c>
      <c r="I33" s="8">
        <v>4458.1100396624797</v>
      </c>
      <c r="J33" s="8">
        <v>40122.99035696232</v>
      </c>
      <c r="K33" s="8">
        <v>27206.506465455572</v>
      </c>
      <c r="L33" s="8">
        <v>12916.48389150675</v>
      </c>
      <c r="M33" s="5">
        <f>Tabela2[[#This Row],[Lucro]]/Tabela2[[#This Row],[Receita]]</f>
        <v>0.32192226393378537</v>
      </c>
    </row>
    <row r="34" spans="1:13" x14ac:dyDescent="0.3">
      <c r="A34" s="1">
        <v>44965</v>
      </c>
      <c r="B34" t="str">
        <f>TEXT(Tabela2[[#This Row],[Data]],"mmm")</f>
        <v>fev</v>
      </c>
      <c r="C34">
        <f>YEAR(Tabela2[[#This Row],[Data]])</f>
        <v>2023</v>
      </c>
      <c r="D34" t="s">
        <v>14</v>
      </c>
      <c r="E34" t="s">
        <v>15</v>
      </c>
      <c r="F34" t="s">
        <v>24</v>
      </c>
      <c r="G34" t="s">
        <v>25</v>
      </c>
      <c r="H34">
        <v>6</v>
      </c>
      <c r="I34" s="8">
        <v>128.92797870992399</v>
      </c>
      <c r="J34" s="8">
        <v>773.56787225954429</v>
      </c>
      <c r="K34" s="8">
        <v>393.73991797230838</v>
      </c>
      <c r="L34" s="8">
        <v>379.82795428723591</v>
      </c>
      <c r="M34" s="5">
        <f>Tabela2[[#This Row],[Lucro]]/Tabela2[[#This Row],[Receita]]</f>
        <v>0.49100792303819674</v>
      </c>
    </row>
    <row r="35" spans="1:13" x14ac:dyDescent="0.3">
      <c r="A35" s="1">
        <v>44967</v>
      </c>
      <c r="B35" t="str">
        <f>TEXT(Tabela2[[#This Row],[Data]],"mmm")</f>
        <v>fev</v>
      </c>
      <c r="C35">
        <f>YEAR(Tabela2[[#This Row],[Data]])</f>
        <v>2023</v>
      </c>
      <c r="D35" t="s">
        <v>10</v>
      </c>
      <c r="E35" t="s">
        <v>11</v>
      </c>
      <c r="F35" t="s">
        <v>12</v>
      </c>
      <c r="G35" t="s">
        <v>22</v>
      </c>
      <c r="H35">
        <v>4</v>
      </c>
      <c r="I35" s="8">
        <v>482.5016641192434</v>
      </c>
      <c r="J35" s="8">
        <v>1930.0066564769741</v>
      </c>
      <c r="K35" s="8">
        <v>1059.683977013083</v>
      </c>
      <c r="L35" s="8">
        <v>870.32267946389106</v>
      </c>
      <c r="M35" s="5">
        <f>Tabela2[[#This Row],[Lucro]]/Tabela2[[#This Row],[Receita]]</f>
        <v>0.45094283822449316</v>
      </c>
    </row>
    <row r="36" spans="1:13" x14ac:dyDescent="0.3">
      <c r="A36" s="1">
        <v>44968</v>
      </c>
      <c r="B36" t="str">
        <f>TEXT(Tabela2[[#This Row],[Data]],"mmm")</f>
        <v>fev</v>
      </c>
      <c r="C36">
        <f>YEAR(Tabela2[[#This Row],[Data]])</f>
        <v>2023</v>
      </c>
      <c r="D36" t="s">
        <v>23</v>
      </c>
      <c r="E36" t="s">
        <v>15</v>
      </c>
      <c r="F36" t="s">
        <v>21</v>
      </c>
      <c r="G36" t="s">
        <v>22</v>
      </c>
      <c r="H36">
        <v>1</v>
      </c>
      <c r="I36" s="8">
        <v>533.77987404180601</v>
      </c>
      <c r="J36" s="8">
        <v>533.77987404180601</v>
      </c>
      <c r="K36" s="8">
        <v>417.86922339278198</v>
      </c>
      <c r="L36" s="8">
        <v>115.91065064902401</v>
      </c>
      <c r="M36" s="5">
        <f>Tabela2[[#This Row],[Lucro]]/Tabela2[[#This Row],[Receita]]</f>
        <v>0.21715065757602131</v>
      </c>
    </row>
    <row r="37" spans="1:13" x14ac:dyDescent="0.3">
      <c r="A37" s="1">
        <v>44971</v>
      </c>
      <c r="B37" t="str">
        <f>TEXT(Tabela2[[#This Row],[Data]],"mmm")</f>
        <v>fev</v>
      </c>
      <c r="C37">
        <f>YEAR(Tabela2[[#This Row],[Data]])</f>
        <v>2023</v>
      </c>
      <c r="D37" t="s">
        <v>26</v>
      </c>
      <c r="E37" t="s">
        <v>11</v>
      </c>
      <c r="F37" t="s">
        <v>12</v>
      </c>
      <c r="G37" t="s">
        <v>25</v>
      </c>
      <c r="H37">
        <v>4</v>
      </c>
      <c r="I37" s="8">
        <v>4468.1670425253897</v>
      </c>
      <c r="J37" s="8">
        <v>17872.668170101559</v>
      </c>
      <c r="K37" s="8">
        <v>11828.1795610139</v>
      </c>
      <c r="L37" s="8">
        <v>6044.4886090876589</v>
      </c>
      <c r="M37" s="5">
        <f>Tabela2[[#This Row],[Lucro]]/Tabela2[[#This Row],[Receita]]</f>
        <v>0.33819732742530473</v>
      </c>
    </row>
    <row r="38" spans="1:13" x14ac:dyDescent="0.3">
      <c r="A38" s="1">
        <v>44972</v>
      </c>
      <c r="B38" t="str">
        <f>TEXT(Tabela2[[#This Row],[Data]],"mmm")</f>
        <v>fev</v>
      </c>
      <c r="C38">
        <f>YEAR(Tabela2[[#This Row],[Data]])</f>
        <v>2023</v>
      </c>
      <c r="D38" t="s">
        <v>14</v>
      </c>
      <c r="E38" t="s">
        <v>15</v>
      </c>
      <c r="F38" t="s">
        <v>12</v>
      </c>
      <c r="G38" t="s">
        <v>20</v>
      </c>
      <c r="H38">
        <v>3</v>
      </c>
      <c r="I38" s="8">
        <v>586.06121654292076</v>
      </c>
      <c r="J38" s="8">
        <v>1758.1836496287619</v>
      </c>
      <c r="K38" s="8">
        <v>1202.64079519282</v>
      </c>
      <c r="L38" s="8">
        <v>555.54285443594244</v>
      </c>
      <c r="M38" s="5">
        <f>Tabela2[[#This Row],[Lucro]]/Tabela2[[#This Row],[Receita]]</f>
        <v>0.31597544121926319</v>
      </c>
    </row>
    <row r="39" spans="1:13" x14ac:dyDescent="0.3">
      <c r="A39" s="1">
        <v>44975</v>
      </c>
      <c r="B39" t="str">
        <f>TEXT(Tabela2[[#This Row],[Data]],"mmm")</f>
        <v>fev</v>
      </c>
      <c r="C39">
        <f>YEAR(Tabela2[[#This Row],[Data]])</f>
        <v>2023</v>
      </c>
      <c r="D39" t="s">
        <v>26</v>
      </c>
      <c r="E39" t="s">
        <v>11</v>
      </c>
      <c r="F39" t="s">
        <v>19</v>
      </c>
      <c r="G39" t="s">
        <v>22</v>
      </c>
      <c r="H39">
        <v>1</v>
      </c>
      <c r="I39" s="8">
        <v>2808.6615760057371</v>
      </c>
      <c r="J39" s="8">
        <v>2808.6615760057371</v>
      </c>
      <c r="K39" s="8">
        <v>2129.4980119218649</v>
      </c>
      <c r="L39" s="8">
        <v>679.16356408387219</v>
      </c>
      <c r="M39" s="5">
        <f>Tabela2[[#This Row],[Lucro]]/Tabela2[[#This Row],[Receita]]</f>
        <v>0.24181039463277967</v>
      </c>
    </row>
    <row r="40" spans="1:13" x14ac:dyDescent="0.3">
      <c r="A40" s="1">
        <v>44978</v>
      </c>
      <c r="B40" t="str">
        <f>TEXT(Tabela2[[#This Row],[Data]],"mmm")</f>
        <v>fev</v>
      </c>
      <c r="C40">
        <f>YEAR(Tabela2[[#This Row],[Data]])</f>
        <v>2023</v>
      </c>
      <c r="D40" t="s">
        <v>23</v>
      </c>
      <c r="E40" t="s">
        <v>15</v>
      </c>
      <c r="F40" t="s">
        <v>19</v>
      </c>
      <c r="G40" t="s">
        <v>17</v>
      </c>
      <c r="H40">
        <v>7</v>
      </c>
      <c r="I40" s="8">
        <v>491.44555583669751</v>
      </c>
      <c r="J40" s="8">
        <v>3440.118890856882</v>
      </c>
      <c r="K40" s="8">
        <v>2277.1947063027451</v>
      </c>
      <c r="L40" s="8">
        <v>1162.9241845541369</v>
      </c>
      <c r="M40" s="5">
        <f>Tabela2[[#This Row],[Lucro]]/Tabela2[[#This Row],[Receita]]</f>
        <v>0.33804767260949808</v>
      </c>
    </row>
    <row r="41" spans="1:13" x14ac:dyDescent="0.3">
      <c r="A41" s="1">
        <v>44978</v>
      </c>
      <c r="B41" t="str">
        <f>TEXT(Tabela2[[#This Row],[Data]],"mmm")</f>
        <v>fev</v>
      </c>
      <c r="C41">
        <f>YEAR(Tabela2[[#This Row],[Data]])</f>
        <v>2023</v>
      </c>
      <c r="D41" t="s">
        <v>14</v>
      </c>
      <c r="E41" t="s">
        <v>15</v>
      </c>
      <c r="F41" t="s">
        <v>12</v>
      </c>
      <c r="G41" t="s">
        <v>25</v>
      </c>
      <c r="H41">
        <v>3</v>
      </c>
      <c r="I41" s="8">
        <v>473.12700154498219</v>
      </c>
      <c r="J41" s="8">
        <v>1419.381004634947</v>
      </c>
      <c r="K41" s="8">
        <v>747.8546793109216</v>
      </c>
      <c r="L41" s="8">
        <v>671.52632532402515</v>
      </c>
      <c r="M41" s="5">
        <f>Tabela2[[#This Row],[Lucro]]/Tabela2[[#This Row],[Receita]]</f>
        <v>0.4731120982535173</v>
      </c>
    </row>
    <row r="42" spans="1:13" x14ac:dyDescent="0.3">
      <c r="A42" s="1">
        <v>44979</v>
      </c>
      <c r="B42" t="str">
        <f>TEXT(Tabela2[[#This Row],[Data]],"mmm")</f>
        <v>fev</v>
      </c>
      <c r="C42">
        <f>YEAR(Tabela2[[#This Row],[Data]])</f>
        <v>2023</v>
      </c>
      <c r="D42" t="s">
        <v>26</v>
      </c>
      <c r="E42" t="s">
        <v>11</v>
      </c>
      <c r="F42" t="s">
        <v>12</v>
      </c>
      <c r="G42" t="s">
        <v>17</v>
      </c>
      <c r="H42">
        <v>7</v>
      </c>
      <c r="I42" s="8">
        <v>4979.8596480501292</v>
      </c>
      <c r="J42" s="8">
        <v>34859.017536350897</v>
      </c>
      <c r="K42" s="8">
        <v>18013.79283637763</v>
      </c>
      <c r="L42" s="8">
        <v>16845.224699973271</v>
      </c>
      <c r="M42" s="5">
        <f>Tabela2[[#This Row],[Lucro]]/Tabela2[[#This Row],[Receita]]</f>
        <v>0.48323865359679491</v>
      </c>
    </row>
    <row r="43" spans="1:13" x14ac:dyDescent="0.3">
      <c r="A43" s="1">
        <v>44979</v>
      </c>
      <c r="B43" t="str">
        <f>TEXT(Tabela2[[#This Row],[Data]],"mmm")</f>
        <v>fev</v>
      </c>
      <c r="C43">
        <f>YEAR(Tabela2[[#This Row],[Data]])</f>
        <v>2023</v>
      </c>
      <c r="D43" t="s">
        <v>23</v>
      </c>
      <c r="E43" t="s">
        <v>15</v>
      </c>
      <c r="F43" t="s">
        <v>21</v>
      </c>
      <c r="G43" t="s">
        <v>20</v>
      </c>
      <c r="H43">
        <v>2</v>
      </c>
      <c r="I43" s="8">
        <v>799.54270610111996</v>
      </c>
      <c r="J43" s="8">
        <v>1599.0854122022399</v>
      </c>
      <c r="K43" s="8">
        <v>822.67125651145273</v>
      </c>
      <c r="L43" s="8">
        <v>776.4141556907872</v>
      </c>
      <c r="M43" s="5">
        <f>Tabela2[[#This Row],[Lucro]]/Tabela2[[#This Row],[Receita]]</f>
        <v>0.48553638834183321</v>
      </c>
    </row>
    <row r="44" spans="1:13" x14ac:dyDescent="0.3">
      <c r="A44" s="1">
        <v>44979</v>
      </c>
      <c r="B44" t="str">
        <f>TEXT(Tabela2[[#This Row],[Data]],"mmm")</f>
        <v>fev</v>
      </c>
      <c r="C44">
        <f>YEAR(Tabela2[[#This Row],[Data]])</f>
        <v>2023</v>
      </c>
      <c r="D44" t="s">
        <v>18</v>
      </c>
      <c r="E44" t="s">
        <v>15</v>
      </c>
      <c r="F44" t="s">
        <v>12</v>
      </c>
      <c r="G44" t="s">
        <v>13</v>
      </c>
      <c r="H44">
        <v>3</v>
      </c>
      <c r="I44" s="8">
        <v>439.06546503697467</v>
      </c>
      <c r="J44" s="8">
        <v>1317.196395110924</v>
      </c>
      <c r="K44" s="8">
        <v>840.41838681585136</v>
      </c>
      <c r="L44" s="8">
        <v>476.7780082950726</v>
      </c>
      <c r="M44" s="5">
        <f>Tabela2[[#This Row],[Lucro]]/Tabela2[[#This Row],[Receita]]</f>
        <v>0.36196425230492835</v>
      </c>
    </row>
    <row r="45" spans="1:13" x14ac:dyDescent="0.3">
      <c r="A45" s="1">
        <v>44979</v>
      </c>
      <c r="B45" t="str">
        <f>TEXT(Tabela2[[#This Row],[Data]],"mmm")</f>
        <v>fev</v>
      </c>
      <c r="C45">
        <f>YEAR(Tabela2[[#This Row],[Data]])</f>
        <v>2023</v>
      </c>
      <c r="D45" t="s">
        <v>23</v>
      </c>
      <c r="E45" t="s">
        <v>15</v>
      </c>
      <c r="F45" t="s">
        <v>24</v>
      </c>
      <c r="G45" t="s">
        <v>20</v>
      </c>
      <c r="H45">
        <v>3</v>
      </c>
      <c r="I45" s="8">
        <v>212.93151935969419</v>
      </c>
      <c r="J45" s="8">
        <v>638.79455807908244</v>
      </c>
      <c r="K45" s="8">
        <v>405.73882158270129</v>
      </c>
      <c r="L45" s="8">
        <v>233.05573649638109</v>
      </c>
      <c r="M45" s="5">
        <f>Tabela2[[#This Row],[Lucro]]/Tabela2[[#This Row],[Receita]]</f>
        <v>0.3648367594069718</v>
      </c>
    </row>
    <row r="46" spans="1:13" x14ac:dyDescent="0.3">
      <c r="A46" s="1">
        <v>44980</v>
      </c>
      <c r="B46" t="str">
        <f>TEXT(Tabela2[[#This Row],[Data]],"mmm")</f>
        <v>fev</v>
      </c>
      <c r="C46">
        <f>YEAR(Tabela2[[#This Row],[Data]])</f>
        <v>2023</v>
      </c>
      <c r="D46" t="s">
        <v>18</v>
      </c>
      <c r="E46" t="s">
        <v>15</v>
      </c>
      <c r="F46" t="s">
        <v>19</v>
      </c>
      <c r="G46" t="s">
        <v>17</v>
      </c>
      <c r="H46">
        <v>2</v>
      </c>
      <c r="I46" s="8">
        <v>624.60360222166935</v>
      </c>
      <c r="J46" s="8">
        <v>1249.2072044433389</v>
      </c>
      <c r="K46" s="8">
        <v>976.69225613233232</v>
      </c>
      <c r="L46" s="8">
        <v>272.51494831100638</v>
      </c>
      <c r="M46" s="5">
        <f>Tabela2[[#This Row],[Lucro]]/Tabela2[[#This Row],[Receita]]</f>
        <v>0.21815031753074315</v>
      </c>
    </row>
    <row r="47" spans="1:13" x14ac:dyDescent="0.3">
      <c r="A47" s="1">
        <v>44986</v>
      </c>
      <c r="B47" t="str">
        <f>TEXT(Tabela2[[#This Row],[Data]],"mmm")</f>
        <v>mar</v>
      </c>
      <c r="C47">
        <f>YEAR(Tabela2[[#This Row],[Data]])</f>
        <v>2023</v>
      </c>
      <c r="D47" t="s">
        <v>23</v>
      </c>
      <c r="E47" t="s">
        <v>15</v>
      </c>
      <c r="F47" t="s">
        <v>16</v>
      </c>
      <c r="G47" t="s">
        <v>22</v>
      </c>
      <c r="H47">
        <v>5</v>
      </c>
      <c r="I47" s="8">
        <v>177.2693096372407</v>
      </c>
      <c r="J47" s="8">
        <v>886.34654818620356</v>
      </c>
      <c r="K47" s="8">
        <v>486.69003810785449</v>
      </c>
      <c r="L47" s="8">
        <v>399.65651007834907</v>
      </c>
      <c r="M47" s="5">
        <f>Tabela2[[#This Row],[Lucro]]/Tabela2[[#This Row],[Receita]]</f>
        <v>0.45090321714028864</v>
      </c>
    </row>
    <row r="48" spans="1:13" x14ac:dyDescent="0.3">
      <c r="A48" s="1">
        <v>44989</v>
      </c>
      <c r="B48" t="str">
        <f>TEXT(Tabela2[[#This Row],[Data]],"mmm")</f>
        <v>mar</v>
      </c>
      <c r="C48">
        <f>YEAR(Tabela2[[#This Row],[Data]])</f>
        <v>2023</v>
      </c>
      <c r="D48" t="s">
        <v>10</v>
      </c>
      <c r="E48" t="s">
        <v>11</v>
      </c>
      <c r="F48" t="s">
        <v>21</v>
      </c>
      <c r="G48" t="s">
        <v>20</v>
      </c>
      <c r="H48">
        <v>6</v>
      </c>
      <c r="I48" s="8">
        <v>290.14987560544978</v>
      </c>
      <c r="J48" s="8">
        <v>1740.8992536326989</v>
      </c>
      <c r="K48" s="8">
        <v>1051.6527978843351</v>
      </c>
      <c r="L48" s="8">
        <v>689.24645574836404</v>
      </c>
      <c r="M48" s="5">
        <f>Tabela2[[#This Row],[Lucro]]/Tabela2[[#This Row],[Receita]]</f>
        <v>0.39591403943113168</v>
      </c>
    </row>
    <row r="49" spans="1:13" x14ac:dyDescent="0.3">
      <c r="A49" s="1">
        <v>44989</v>
      </c>
      <c r="B49" t="str">
        <f>TEXT(Tabela2[[#This Row],[Data]],"mmm")</f>
        <v>mar</v>
      </c>
      <c r="C49">
        <f>YEAR(Tabela2[[#This Row],[Data]])</f>
        <v>2023</v>
      </c>
      <c r="D49" t="s">
        <v>23</v>
      </c>
      <c r="E49" t="s">
        <v>15</v>
      </c>
      <c r="F49" t="s">
        <v>21</v>
      </c>
      <c r="G49" t="s">
        <v>22</v>
      </c>
      <c r="H49">
        <v>7</v>
      </c>
      <c r="I49" s="8">
        <v>352.89534616266451</v>
      </c>
      <c r="J49" s="8">
        <v>2470.2674231386518</v>
      </c>
      <c r="K49" s="8">
        <v>1827.8363539919339</v>
      </c>
      <c r="L49" s="8">
        <v>642.43106914671807</v>
      </c>
      <c r="M49" s="5">
        <f>Tabela2[[#This Row],[Lucro]]/Tabela2[[#This Row],[Receita]]</f>
        <v>0.26006539337771917</v>
      </c>
    </row>
    <row r="50" spans="1:13" x14ac:dyDescent="0.3">
      <c r="A50" s="1">
        <v>44991</v>
      </c>
      <c r="B50" t="str">
        <f>TEXT(Tabela2[[#This Row],[Data]],"mmm")</f>
        <v>mar</v>
      </c>
      <c r="C50">
        <f>YEAR(Tabela2[[#This Row],[Data]])</f>
        <v>2023</v>
      </c>
      <c r="D50" t="s">
        <v>18</v>
      </c>
      <c r="E50" t="s">
        <v>15</v>
      </c>
      <c r="F50" t="s">
        <v>21</v>
      </c>
      <c r="G50" t="s">
        <v>13</v>
      </c>
      <c r="H50">
        <v>5</v>
      </c>
      <c r="I50" s="8">
        <v>604.67107398133624</v>
      </c>
      <c r="J50" s="8">
        <v>3023.3553699066811</v>
      </c>
      <c r="K50" s="8">
        <v>1868.121713219411</v>
      </c>
      <c r="L50" s="8">
        <v>1155.23365668727</v>
      </c>
      <c r="M50" s="5">
        <f>Tabela2[[#This Row],[Lucro]]/Tabela2[[#This Row],[Receita]]</f>
        <v>0.38210316530634225</v>
      </c>
    </row>
    <row r="51" spans="1:13" x14ac:dyDescent="0.3">
      <c r="A51" s="1">
        <v>44993</v>
      </c>
      <c r="B51" t="str">
        <f>TEXT(Tabela2[[#This Row],[Data]],"mmm")</f>
        <v>mar</v>
      </c>
      <c r="C51">
        <f>YEAR(Tabela2[[#This Row],[Data]])</f>
        <v>2023</v>
      </c>
      <c r="D51" t="s">
        <v>14</v>
      </c>
      <c r="E51" t="s">
        <v>15</v>
      </c>
      <c r="F51" t="s">
        <v>21</v>
      </c>
      <c r="G51" t="s">
        <v>25</v>
      </c>
      <c r="H51">
        <v>8</v>
      </c>
      <c r="I51" s="8">
        <v>97.56428635228923</v>
      </c>
      <c r="J51" s="8">
        <v>780.51429081831384</v>
      </c>
      <c r="K51" s="8">
        <v>447.19695647055931</v>
      </c>
      <c r="L51" s="8">
        <v>333.31733434775458</v>
      </c>
      <c r="M51" s="5">
        <f>Tabela2[[#This Row],[Lucro]]/Tabela2[[#This Row],[Receita]]</f>
        <v>0.42704834270016379</v>
      </c>
    </row>
    <row r="52" spans="1:13" x14ac:dyDescent="0.3">
      <c r="A52" s="1">
        <v>44994</v>
      </c>
      <c r="B52" t="str">
        <f>TEXT(Tabela2[[#This Row],[Data]],"mmm")</f>
        <v>mar</v>
      </c>
      <c r="C52">
        <f>YEAR(Tabela2[[#This Row],[Data]])</f>
        <v>2023</v>
      </c>
      <c r="D52" t="s">
        <v>18</v>
      </c>
      <c r="E52" t="s">
        <v>15</v>
      </c>
      <c r="F52" t="s">
        <v>16</v>
      </c>
      <c r="G52" t="s">
        <v>22</v>
      </c>
      <c r="H52">
        <v>2</v>
      </c>
      <c r="I52" s="8">
        <v>87.797824708190475</v>
      </c>
      <c r="J52" s="8">
        <v>175.59564941638101</v>
      </c>
      <c r="K52" s="8">
        <v>116.0918963131148</v>
      </c>
      <c r="L52" s="8">
        <v>59.503753103266121</v>
      </c>
      <c r="M52" s="5">
        <f>Tabela2[[#This Row],[Lucro]]/Tabela2[[#This Row],[Receita]]</f>
        <v>0.3388680374544355</v>
      </c>
    </row>
    <row r="53" spans="1:13" x14ac:dyDescent="0.3">
      <c r="A53" s="1">
        <v>44996</v>
      </c>
      <c r="B53" t="str">
        <f>TEXT(Tabela2[[#This Row],[Data]],"mmm")</f>
        <v>mar</v>
      </c>
      <c r="C53">
        <f>YEAR(Tabela2[[#This Row],[Data]])</f>
        <v>2023</v>
      </c>
      <c r="D53" t="s">
        <v>26</v>
      </c>
      <c r="E53" t="s">
        <v>11</v>
      </c>
      <c r="F53" t="s">
        <v>19</v>
      </c>
      <c r="G53" t="s">
        <v>17</v>
      </c>
      <c r="H53">
        <v>1</v>
      </c>
      <c r="I53" s="8">
        <v>4167.7224105945388</v>
      </c>
      <c r="J53" s="8">
        <v>4167.7224105945388</v>
      </c>
      <c r="K53" s="8">
        <v>2921.0765541335431</v>
      </c>
      <c r="L53" s="8">
        <v>1246.6458564609959</v>
      </c>
      <c r="M53" s="5">
        <f>Tabela2[[#This Row],[Lucro]]/Tabela2[[#This Row],[Receita]]</f>
        <v>0.29911921515981144</v>
      </c>
    </row>
    <row r="54" spans="1:13" x14ac:dyDescent="0.3">
      <c r="A54" s="1">
        <v>44998</v>
      </c>
      <c r="B54" t="str">
        <f>TEXT(Tabela2[[#This Row],[Data]],"mmm")</f>
        <v>mar</v>
      </c>
      <c r="C54">
        <f>YEAR(Tabela2[[#This Row],[Data]])</f>
        <v>2023</v>
      </c>
      <c r="D54" t="s">
        <v>26</v>
      </c>
      <c r="E54" t="s">
        <v>11</v>
      </c>
      <c r="F54" t="s">
        <v>24</v>
      </c>
      <c r="G54" t="s">
        <v>13</v>
      </c>
      <c r="H54">
        <v>5</v>
      </c>
      <c r="I54" s="8">
        <v>1545.199484082236</v>
      </c>
      <c r="J54" s="8">
        <v>7725.9974204111777</v>
      </c>
      <c r="K54" s="8">
        <v>5559.5305528103181</v>
      </c>
      <c r="L54" s="8">
        <v>2166.46686760086</v>
      </c>
      <c r="M54" s="5">
        <f>Tabela2[[#This Row],[Lucro]]/Tabela2[[#This Row],[Receita]]</f>
        <v>0.28041257972430966</v>
      </c>
    </row>
    <row r="55" spans="1:13" x14ac:dyDescent="0.3">
      <c r="A55" s="1">
        <v>44998</v>
      </c>
      <c r="B55" t="str">
        <f>TEXT(Tabela2[[#This Row],[Data]],"mmm")</f>
        <v>mar</v>
      </c>
      <c r="C55">
        <f>YEAR(Tabela2[[#This Row],[Data]])</f>
        <v>2023</v>
      </c>
      <c r="D55" t="s">
        <v>10</v>
      </c>
      <c r="E55" t="s">
        <v>11</v>
      </c>
      <c r="F55" t="s">
        <v>12</v>
      </c>
      <c r="G55" t="s">
        <v>17</v>
      </c>
      <c r="H55">
        <v>3</v>
      </c>
      <c r="I55" s="8">
        <v>419.8970385928767</v>
      </c>
      <c r="J55" s="8">
        <v>1259.6911157786301</v>
      </c>
      <c r="K55" s="8">
        <v>717.01737163907194</v>
      </c>
      <c r="L55" s="8">
        <v>542.67374413955815</v>
      </c>
      <c r="M55" s="5">
        <f>Tabela2[[#This Row],[Lucro]]/Tabela2[[#This Row],[Receita]]</f>
        <v>0.43079905648467248</v>
      </c>
    </row>
    <row r="56" spans="1:13" x14ac:dyDescent="0.3">
      <c r="A56" s="1">
        <v>44999</v>
      </c>
      <c r="B56" t="str">
        <f>TEXT(Tabela2[[#This Row],[Data]],"mmm")</f>
        <v>mar</v>
      </c>
      <c r="C56">
        <f>YEAR(Tabela2[[#This Row],[Data]])</f>
        <v>2023</v>
      </c>
      <c r="D56" t="s">
        <v>26</v>
      </c>
      <c r="E56" t="s">
        <v>11</v>
      </c>
      <c r="F56" t="s">
        <v>21</v>
      </c>
      <c r="G56" t="s">
        <v>22</v>
      </c>
      <c r="H56">
        <v>9</v>
      </c>
      <c r="I56" s="8">
        <v>3539.381470960318</v>
      </c>
      <c r="J56" s="8">
        <v>31854.433238642861</v>
      </c>
      <c r="K56" s="8">
        <v>21644.635609535551</v>
      </c>
      <c r="L56" s="8">
        <v>10209.79762910731</v>
      </c>
      <c r="M56" s="5">
        <f>Tabela2[[#This Row],[Lucro]]/Tabela2[[#This Row],[Receita]]</f>
        <v>0.32051418251955349</v>
      </c>
    </row>
    <row r="57" spans="1:13" x14ac:dyDescent="0.3">
      <c r="A57" s="1">
        <v>44999</v>
      </c>
      <c r="B57" t="str">
        <f>TEXT(Tabela2[[#This Row],[Data]],"mmm")</f>
        <v>mar</v>
      </c>
      <c r="C57">
        <f>YEAR(Tabela2[[#This Row],[Data]])</f>
        <v>2023</v>
      </c>
      <c r="D57" t="s">
        <v>26</v>
      </c>
      <c r="E57" t="s">
        <v>11</v>
      </c>
      <c r="F57" t="s">
        <v>21</v>
      </c>
      <c r="G57" t="s">
        <v>25</v>
      </c>
      <c r="H57">
        <v>5</v>
      </c>
      <c r="I57" s="8">
        <v>3942.4078213569828</v>
      </c>
      <c r="J57" s="8">
        <v>19712.039106784909</v>
      </c>
      <c r="K57" s="8">
        <v>10384.76150563929</v>
      </c>
      <c r="L57" s="8">
        <v>9327.2776011456262</v>
      </c>
      <c r="M57" s="5">
        <f>Tabela2[[#This Row],[Lucro]]/Tabela2[[#This Row],[Receita]]</f>
        <v>0.47317669930632217</v>
      </c>
    </row>
    <row r="58" spans="1:13" x14ac:dyDescent="0.3">
      <c r="A58" s="1">
        <v>44999</v>
      </c>
      <c r="B58" t="str">
        <f>TEXT(Tabela2[[#This Row],[Data]],"mmm")</f>
        <v>mar</v>
      </c>
      <c r="C58">
        <f>YEAR(Tabela2[[#This Row],[Data]])</f>
        <v>2023</v>
      </c>
      <c r="D58" t="s">
        <v>26</v>
      </c>
      <c r="E58" t="s">
        <v>11</v>
      </c>
      <c r="F58" t="s">
        <v>21</v>
      </c>
      <c r="G58" t="s">
        <v>22</v>
      </c>
      <c r="H58">
        <v>9</v>
      </c>
      <c r="I58" s="8">
        <v>497.88439167090121</v>
      </c>
      <c r="J58" s="8">
        <v>4480.9595250381108</v>
      </c>
      <c r="K58" s="8">
        <v>2628.5563032293489</v>
      </c>
      <c r="L58" s="8">
        <v>1852.4032218087621</v>
      </c>
      <c r="M58" s="5">
        <f>Tabela2[[#This Row],[Lucro]]/Tabela2[[#This Row],[Receita]]</f>
        <v>0.41339432134080867</v>
      </c>
    </row>
    <row r="59" spans="1:13" x14ac:dyDescent="0.3">
      <c r="A59" s="1">
        <v>45002</v>
      </c>
      <c r="B59" t="str">
        <f>TEXT(Tabela2[[#This Row],[Data]],"mmm")</f>
        <v>mar</v>
      </c>
      <c r="C59">
        <f>YEAR(Tabela2[[#This Row],[Data]])</f>
        <v>2023</v>
      </c>
      <c r="D59" t="s">
        <v>26</v>
      </c>
      <c r="E59" t="s">
        <v>11</v>
      </c>
      <c r="F59" t="s">
        <v>19</v>
      </c>
      <c r="G59" t="s">
        <v>25</v>
      </c>
      <c r="H59">
        <v>1</v>
      </c>
      <c r="I59" s="8">
        <v>2820.2609832602252</v>
      </c>
      <c r="J59" s="8">
        <v>2820.2609832602252</v>
      </c>
      <c r="K59" s="8">
        <v>1418.3973935550259</v>
      </c>
      <c r="L59" s="8">
        <v>1401.863589705199</v>
      </c>
      <c r="M59" s="5">
        <f>Tabela2[[#This Row],[Lucro]]/Tabela2[[#This Row],[Receita]]</f>
        <v>0.49706874577424498</v>
      </c>
    </row>
    <row r="60" spans="1:13" x14ac:dyDescent="0.3">
      <c r="A60" s="1">
        <v>45004</v>
      </c>
      <c r="B60" t="str">
        <f>TEXT(Tabela2[[#This Row],[Data]],"mmm")</f>
        <v>mar</v>
      </c>
      <c r="C60">
        <f>YEAR(Tabela2[[#This Row],[Data]])</f>
        <v>2023</v>
      </c>
      <c r="D60" t="s">
        <v>23</v>
      </c>
      <c r="E60" t="s">
        <v>15</v>
      </c>
      <c r="F60" t="s">
        <v>12</v>
      </c>
      <c r="G60" t="s">
        <v>22</v>
      </c>
      <c r="H60">
        <v>9</v>
      </c>
      <c r="I60" s="8">
        <v>790.47270576761207</v>
      </c>
      <c r="J60" s="8">
        <v>7114.2543519085084</v>
      </c>
      <c r="K60" s="8">
        <v>3848.3273069742718</v>
      </c>
      <c r="L60" s="8">
        <v>3265.9270449342362</v>
      </c>
      <c r="M60" s="5">
        <f>Tabela2[[#This Row],[Lucro]]/Tabela2[[#This Row],[Receita]]</f>
        <v>0.45906807423298002</v>
      </c>
    </row>
    <row r="61" spans="1:13" x14ac:dyDescent="0.3">
      <c r="A61" s="1">
        <v>45004</v>
      </c>
      <c r="B61" t="str">
        <f>TEXT(Tabela2[[#This Row],[Data]],"mmm")</f>
        <v>mar</v>
      </c>
      <c r="C61">
        <f>YEAR(Tabela2[[#This Row],[Data]])</f>
        <v>2023</v>
      </c>
      <c r="D61" t="s">
        <v>14</v>
      </c>
      <c r="E61" t="s">
        <v>15</v>
      </c>
      <c r="F61" t="s">
        <v>19</v>
      </c>
      <c r="G61" t="s">
        <v>25</v>
      </c>
      <c r="H61">
        <v>5</v>
      </c>
      <c r="I61" s="8">
        <v>130.04384204661659</v>
      </c>
      <c r="J61" s="8">
        <v>650.219210233083</v>
      </c>
      <c r="K61" s="8">
        <v>404.38283083566432</v>
      </c>
      <c r="L61" s="8">
        <v>245.83637939741871</v>
      </c>
      <c r="M61" s="5">
        <f>Tabela2[[#This Row],[Lucro]]/Tabela2[[#This Row],[Receita]]</f>
        <v>0.37808230751794331</v>
      </c>
    </row>
    <row r="62" spans="1:13" x14ac:dyDescent="0.3">
      <c r="A62" s="1">
        <v>45005</v>
      </c>
      <c r="B62" t="str">
        <f>TEXT(Tabela2[[#This Row],[Data]],"mmm")</f>
        <v>mar</v>
      </c>
      <c r="C62">
        <f>YEAR(Tabela2[[#This Row],[Data]])</f>
        <v>2023</v>
      </c>
      <c r="D62" t="s">
        <v>14</v>
      </c>
      <c r="E62" t="s">
        <v>15</v>
      </c>
      <c r="F62" t="s">
        <v>24</v>
      </c>
      <c r="G62" t="s">
        <v>25</v>
      </c>
      <c r="H62">
        <v>7</v>
      </c>
      <c r="I62" s="8">
        <v>508.451850872504</v>
      </c>
      <c r="J62" s="8">
        <v>3559.1629561075279</v>
      </c>
      <c r="K62" s="8">
        <v>1919.7180501015689</v>
      </c>
      <c r="L62" s="8">
        <v>1639.444906005959</v>
      </c>
      <c r="M62" s="5">
        <f>Tabela2[[#This Row],[Lucro]]/Tabela2[[#This Row],[Receita]]</f>
        <v>0.46062653669528381</v>
      </c>
    </row>
    <row r="63" spans="1:13" x14ac:dyDescent="0.3">
      <c r="A63" s="1">
        <v>45005</v>
      </c>
      <c r="B63" t="str">
        <f>TEXT(Tabela2[[#This Row],[Data]],"mmm")</f>
        <v>mar</v>
      </c>
      <c r="C63">
        <f>YEAR(Tabela2[[#This Row],[Data]])</f>
        <v>2023</v>
      </c>
      <c r="D63" t="s">
        <v>10</v>
      </c>
      <c r="E63" t="s">
        <v>11</v>
      </c>
      <c r="F63" t="s">
        <v>12</v>
      </c>
      <c r="G63" t="s">
        <v>25</v>
      </c>
      <c r="H63">
        <v>4</v>
      </c>
      <c r="I63" s="8">
        <v>362.81911713366992</v>
      </c>
      <c r="J63" s="8">
        <v>1451.2764685346799</v>
      </c>
      <c r="K63" s="8">
        <v>771.64283521460459</v>
      </c>
      <c r="L63" s="8">
        <v>679.63363332007509</v>
      </c>
      <c r="M63" s="5">
        <f>Tabela2[[#This Row],[Lucro]]/Tabela2[[#This Row],[Receita]]</f>
        <v>0.46830059472147673</v>
      </c>
    </row>
    <row r="64" spans="1:13" x14ac:dyDescent="0.3">
      <c r="A64" s="1">
        <v>45005</v>
      </c>
      <c r="B64" t="str">
        <f>TEXT(Tabela2[[#This Row],[Data]],"mmm")</f>
        <v>mar</v>
      </c>
      <c r="C64">
        <f>YEAR(Tabela2[[#This Row],[Data]])</f>
        <v>2023</v>
      </c>
      <c r="D64" t="s">
        <v>26</v>
      </c>
      <c r="E64" t="s">
        <v>11</v>
      </c>
      <c r="F64" t="s">
        <v>19</v>
      </c>
      <c r="G64" t="s">
        <v>17</v>
      </c>
      <c r="H64">
        <v>3</v>
      </c>
      <c r="I64" s="8">
        <v>573.18272553605675</v>
      </c>
      <c r="J64" s="8">
        <v>1719.54817660817</v>
      </c>
      <c r="K64" s="8">
        <v>1369.590170374652</v>
      </c>
      <c r="L64" s="8">
        <v>349.95800623351869</v>
      </c>
      <c r="M64" s="5">
        <f>Tabela2[[#This Row],[Lucro]]/Tabela2[[#This Row],[Receita]]</f>
        <v>0.20351741869996057</v>
      </c>
    </row>
    <row r="65" spans="1:13" x14ac:dyDescent="0.3">
      <c r="A65" s="1">
        <v>45007</v>
      </c>
      <c r="B65" t="str">
        <f>TEXT(Tabela2[[#This Row],[Data]],"mmm")</f>
        <v>mar</v>
      </c>
      <c r="C65">
        <f>YEAR(Tabela2[[#This Row],[Data]])</f>
        <v>2023</v>
      </c>
      <c r="D65" t="s">
        <v>23</v>
      </c>
      <c r="E65" t="s">
        <v>15</v>
      </c>
      <c r="F65" t="s">
        <v>21</v>
      </c>
      <c r="G65" t="s">
        <v>20</v>
      </c>
      <c r="H65">
        <v>9</v>
      </c>
      <c r="I65" s="8">
        <v>524.39863691138748</v>
      </c>
      <c r="J65" s="8">
        <v>4719.5877322024871</v>
      </c>
      <c r="K65" s="8">
        <v>3341.244233378934</v>
      </c>
      <c r="L65" s="8">
        <v>1378.3434988235531</v>
      </c>
      <c r="M65" s="5">
        <f>Tabela2[[#This Row],[Lucro]]/Tabela2[[#This Row],[Receita]]</f>
        <v>0.29204743656292248</v>
      </c>
    </row>
    <row r="66" spans="1:13" x14ac:dyDescent="0.3">
      <c r="A66" s="1">
        <v>45007</v>
      </c>
      <c r="B66" t="str">
        <f>TEXT(Tabela2[[#This Row],[Data]],"mmm")</f>
        <v>mar</v>
      </c>
      <c r="C66">
        <f>YEAR(Tabela2[[#This Row],[Data]])</f>
        <v>2023</v>
      </c>
      <c r="D66" t="s">
        <v>14</v>
      </c>
      <c r="E66" t="s">
        <v>15</v>
      </c>
      <c r="F66" t="s">
        <v>16</v>
      </c>
      <c r="G66" t="s">
        <v>22</v>
      </c>
      <c r="H66">
        <v>5</v>
      </c>
      <c r="I66" s="8">
        <v>742.51468524041218</v>
      </c>
      <c r="J66" s="8">
        <v>3712.573426202061</v>
      </c>
      <c r="K66" s="8">
        <v>2581.4380920877911</v>
      </c>
      <c r="L66" s="8">
        <v>1131.1353341142701</v>
      </c>
      <c r="M66" s="5">
        <f>Tabela2[[#This Row],[Lucro]]/Tabela2[[#This Row],[Receita]]</f>
        <v>0.30467689234941658</v>
      </c>
    </row>
    <row r="67" spans="1:13" x14ac:dyDescent="0.3">
      <c r="A67" s="1">
        <v>45008</v>
      </c>
      <c r="B67" t="str">
        <f>TEXT(Tabela2[[#This Row],[Data]],"mmm")</f>
        <v>mar</v>
      </c>
      <c r="C67">
        <f>YEAR(Tabela2[[#This Row],[Data]])</f>
        <v>2023</v>
      </c>
      <c r="D67" t="s">
        <v>10</v>
      </c>
      <c r="E67" t="s">
        <v>11</v>
      </c>
      <c r="F67" t="s">
        <v>16</v>
      </c>
      <c r="G67" t="s">
        <v>20</v>
      </c>
      <c r="H67">
        <v>7</v>
      </c>
      <c r="I67" s="8">
        <v>48.865955078084241</v>
      </c>
      <c r="J67" s="8">
        <v>342.06168554658967</v>
      </c>
      <c r="K67" s="8">
        <v>232.2191666755642</v>
      </c>
      <c r="L67" s="8">
        <v>109.8425188710254</v>
      </c>
      <c r="M67" s="5">
        <f>Tabela2[[#This Row],[Lucro]]/Tabela2[[#This Row],[Receita]]</f>
        <v>0.32111903645538392</v>
      </c>
    </row>
    <row r="68" spans="1:13" x14ac:dyDescent="0.3">
      <c r="A68" s="1">
        <v>45009</v>
      </c>
      <c r="B68" t="str">
        <f>TEXT(Tabela2[[#This Row],[Data]],"mmm")</f>
        <v>mar</v>
      </c>
      <c r="C68">
        <f>YEAR(Tabela2[[#This Row],[Data]])</f>
        <v>2023</v>
      </c>
      <c r="D68" t="s">
        <v>26</v>
      </c>
      <c r="E68" t="s">
        <v>11</v>
      </c>
      <c r="F68" t="s">
        <v>16</v>
      </c>
      <c r="G68" t="s">
        <v>17</v>
      </c>
      <c r="H68">
        <v>9</v>
      </c>
      <c r="I68" s="8">
        <v>3924.345401683539</v>
      </c>
      <c r="J68" s="8">
        <v>35319.108615151847</v>
      </c>
      <c r="K68" s="8">
        <v>20471.5283266394</v>
      </c>
      <c r="L68" s="8">
        <v>14847.580288512439</v>
      </c>
      <c r="M68" s="5">
        <f>Tabela2[[#This Row],[Lucro]]/Tabela2[[#This Row],[Receita]]</f>
        <v>0.42038377724354142</v>
      </c>
    </row>
    <row r="69" spans="1:13" x14ac:dyDescent="0.3">
      <c r="A69" s="1">
        <v>45010</v>
      </c>
      <c r="B69" t="str">
        <f>TEXT(Tabela2[[#This Row],[Data]],"mmm")</f>
        <v>mar</v>
      </c>
      <c r="C69">
        <f>YEAR(Tabela2[[#This Row],[Data]])</f>
        <v>2023</v>
      </c>
      <c r="D69" t="s">
        <v>14</v>
      </c>
      <c r="E69" t="s">
        <v>15</v>
      </c>
      <c r="F69" t="s">
        <v>16</v>
      </c>
      <c r="G69" t="s">
        <v>25</v>
      </c>
      <c r="H69">
        <v>4</v>
      </c>
      <c r="I69" s="8">
        <v>486.03117285290551</v>
      </c>
      <c r="J69" s="8">
        <v>1944.1246914116221</v>
      </c>
      <c r="K69" s="8">
        <v>1429.22281201596</v>
      </c>
      <c r="L69" s="8">
        <v>514.90187939566226</v>
      </c>
      <c r="M69" s="5">
        <f>Tabela2[[#This Row],[Lucro]]/Tabela2[[#This Row],[Receita]]</f>
        <v>0.26485023397434132</v>
      </c>
    </row>
    <row r="70" spans="1:13" x14ac:dyDescent="0.3">
      <c r="A70" s="1">
        <v>45010</v>
      </c>
      <c r="B70" t="str">
        <f>TEXT(Tabela2[[#This Row],[Data]],"mmm")</f>
        <v>mar</v>
      </c>
      <c r="C70">
        <f>YEAR(Tabela2[[#This Row],[Data]])</f>
        <v>2023</v>
      </c>
      <c r="D70" t="s">
        <v>14</v>
      </c>
      <c r="E70" t="s">
        <v>15</v>
      </c>
      <c r="F70" t="s">
        <v>21</v>
      </c>
      <c r="G70" t="s">
        <v>17</v>
      </c>
      <c r="H70">
        <v>3</v>
      </c>
      <c r="I70" s="8">
        <v>263.32255258620171</v>
      </c>
      <c r="J70" s="8">
        <v>789.96765775860513</v>
      </c>
      <c r="K70" s="8">
        <v>470.99674630139782</v>
      </c>
      <c r="L70" s="8">
        <v>318.97091145720742</v>
      </c>
      <c r="M70" s="5">
        <f>Tabela2[[#This Row],[Lucro]]/Tabela2[[#This Row],[Receita]]</f>
        <v>0.40377717786856177</v>
      </c>
    </row>
    <row r="71" spans="1:13" x14ac:dyDescent="0.3">
      <c r="A71" s="1">
        <v>45011</v>
      </c>
      <c r="B71" t="str">
        <f>TEXT(Tabela2[[#This Row],[Data]],"mmm")</f>
        <v>mar</v>
      </c>
      <c r="C71">
        <f>YEAR(Tabela2[[#This Row],[Data]])</f>
        <v>2023</v>
      </c>
      <c r="D71" t="s">
        <v>18</v>
      </c>
      <c r="E71" t="s">
        <v>15</v>
      </c>
      <c r="F71" t="s">
        <v>16</v>
      </c>
      <c r="G71" t="s">
        <v>20</v>
      </c>
      <c r="H71">
        <v>6</v>
      </c>
      <c r="I71" s="8">
        <v>367.71691337023861</v>
      </c>
      <c r="J71" s="8">
        <v>2206.301480221432</v>
      </c>
      <c r="K71" s="8">
        <v>1582.7015206165579</v>
      </c>
      <c r="L71" s="8">
        <v>623.59995960487322</v>
      </c>
      <c r="M71" s="5">
        <f>Tabela2[[#This Row],[Lucro]]/Tabela2[[#This Row],[Receita]]</f>
        <v>0.28264494458041456</v>
      </c>
    </row>
    <row r="72" spans="1:13" x14ac:dyDescent="0.3">
      <c r="A72" s="1">
        <v>45015</v>
      </c>
      <c r="B72" t="str">
        <f>TEXT(Tabela2[[#This Row],[Data]],"mmm")</f>
        <v>mar</v>
      </c>
      <c r="C72">
        <f>YEAR(Tabela2[[#This Row],[Data]])</f>
        <v>2023</v>
      </c>
      <c r="D72" t="s">
        <v>26</v>
      </c>
      <c r="E72" t="s">
        <v>11</v>
      </c>
      <c r="F72" t="s">
        <v>19</v>
      </c>
      <c r="G72" t="s">
        <v>17</v>
      </c>
      <c r="H72">
        <v>2</v>
      </c>
      <c r="I72" s="8">
        <v>2314.2888839798511</v>
      </c>
      <c r="J72" s="8">
        <v>4628.5777679597022</v>
      </c>
      <c r="K72" s="8">
        <v>2857.4567888131442</v>
      </c>
      <c r="L72" s="8">
        <v>1771.1209791465581</v>
      </c>
      <c r="M72" s="5">
        <f>Tabela2[[#This Row],[Lucro]]/Tabela2[[#This Row],[Receita]]</f>
        <v>0.38264907017588606</v>
      </c>
    </row>
    <row r="73" spans="1:13" x14ac:dyDescent="0.3">
      <c r="A73" s="1">
        <v>45015</v>
      </c>
      <c r="B73" t="str">
        <f>TEXT(Tabela2[[#This Row],[Data]],"mmm")</f>
        <v>mar</v>
      </c>
      <c r="C73">
        <f>YEAR(Tabela2[[#This Row],[Data]])</f>
        <v>2023</v>
      </c>
      <c r="D73" t="s">
        <v>23</v>
      </c>
      <c r="E73" t="s">
        <v>15</v>
      </c>
      <c r="F73" t="s">
        <v>12</v>
      </c>
      <c r="G73" t="s">
        <v>22</v>
      </c>
      <c r="H73">
        <v>7</v>
      </c>
      <c r="I73" s="8">
        <v>532.54683623013011</v>
      </c>
      <c r="J73" s="8">
        <v>3727.827853610911</v>
      </c>
      <c r="K73" s="8">
        <v>2351.147996831909</v>
      </c>
      <c r="L73" s="8">
        <v>1376.679856779002</v>
      </c>
      <c r="M73" s="5">
        <f>Tabela2[[#This Row],[Lucro]]/Tabela2[[#This Row],[Receita]]</f>
        <v>0.36929813039663278</v>
      </c>
    </row>
    <row r="74" spans="1:13" x14ac:dyDescent="0.3">
      <c r="A74" s="1">
        <v>45015</v>
      </c>
      <c r="B74" t="str">
        <f>TEXT(Tabela2[[#This Row],[Data]],"mmm")</f>
        <v>mar</v>
      </c>
      <c r="C74">
        <f>YEAR(Tabela2[[#This Row],[Data]])</f>
        <v>2023</v>
      </c>
      <c r="D74" t="s">
        <v>23</v>
      </c>
      <c r="E74" t="s">
        <v>15</v>
      </c>
      <c r="F74" t="s">
        <v>21</v>
      </c>
      <c r="G74" t="s">
        <v>25</v>
      </c>
      <c r="H74">
        <v>7</v>
      </c>
      <c r="I74" s="8">
        <v>459.48236333179779</v>
      </c>
      <c r="J74" s="8">
        <v>3216.3765433225849</v>
      </c>
      <c r="K74" s="8">
        <v>1975.2601756549179</v>
      </c>
      <c r="L74" s="8">
        <v>1241.116367667667</v>
      </c>
      <c r="M74" s="5">
        <f>Tabela2[[#This Row],[Lucro]]/Tabela2[[#This Row],[Receita]]</f>
        <v>0.38587408873016077</v>
      </c>
    </row>
    <row r="75" spans="1:13" x14ac:dyDescent="0.3">
      <c r="A75" s="1">
        <v>45016</v>
      </c>
      <c r="B75" t="str">
        <f>TEXT(Tabela2[[#This Row],[Data]],"mmm")</f>
        <v>mar</v>
      </c>
      <c r="C75">
        <f>YEAR(Tabela2[[#This Row],[Data]])</f>
        <v>2023</v>
      </c>
      <c r="D75" t="s">
        <v>18</v>
      </c>
      <c r="E75" t="s">
        <v>15</v>
      </c>
      <c r="F75" t="s">
        <v>19</v>
      </c>
      <c r="G75" t="s">
        <v>20</v>
      </c>
      <c r="H75">
        <v>5</v>
      </c>
      <c r="I75" s="8">
        <v>780.02794997960984</v>
      </c>
      <c r="J75" s="8">
        <v>3900.1397498980491</v>
      </c>
      <c r="K75" s="8">
        <v>3103.9777928454591</v>
      </c>
      <c r="L75" s="8">
        <v>796.16195705258997</v>
      </c>
      <c r="M75" s="5">
        <f>Tabela2[[#This Row],[Lucro]]/Tabela2[[#This Row],[Receita]]</f>
        <v>0.20413677665611904</v>
      </c>
    </row>
    <row r="76" spans="1:13" x14ac:dyDescent="0.3">
      <c r="A76" s="1">
        <v>45016</v>
      </c>
      <c r="B76" t="str">
        <f>TEXT(Tabela2[[#This Row],[Data]],"mmm")</f>
        <v>mar</v>
      </c>
      <c r="C76">
        <f>YEAR(Tabela2[[#This Row],[Data]])</f>
        <v>2023</v>
      </c>
      <c r="D76" t="s">
        <v>23</v>
      </c>
      <c r="E76" t="s">
        <v>15</v>
      </c>
      <c r="F76" t="s">
        <v>24</v>
      </c>
      <c r="G76" t="s">
        <v>20</v>
      </c>
      <c r="H76">
        <v>2</v>
      </c>
      <c r="I76" s="8">
        <v>223.34173202400439</v>
      </c>
      <c r="J76" s="8">
        <v>446.68346404800877</v>
      </c>
      <c r="K76" s="8">
        <v>289.81325053840482</v>
      </c>
      <c r="L76" s="8">
        <v>156.8702135096041</v>
      </c>
      <c r="M76" s="5">
        <f>Tabela2[[#This Row],[Lucro]]/Tabela2[[#This Row],[Receita]]</f>
        <v>0.35118876371197827</v>
      </c>
    </row>
    <row r="77" spans="1:13" x14ac:dyDescent="0.3">
      <c r="A77" s="1">
        <v>45018</v>
      </c>
      <c r="B77" t="str">
        <f>TEXT(Tabela2[[#This Row],[Data]],"mmm")</f>
        <v>abr</v>
      </c>
      <c r="C77">
        <f>YEAR(Tabela2[[#This Row],[Data]])</f>
        <v>2023</v>
      </c>
      <c r="D77" t="s">
        <v>18</v>
      </c>
      <c r="E77" t="s">
        <v>15</v>
      </c>
      <c r="F77" t="s">
        <v>12</v>
      </c>
      <c r="G77" t="s">
        <v>17</v>
      </c>
      <c r="H77">
        <v>6</v>
      </c>
      <c r="I77" s="8">
        <v>114.09597945846861</v>
      </c>
      <c r="J77" s="8">
        <v>684.57587675081186</v>
      </c>
      <c r="K77" s="8">
        <v>436.91934710965461</v>
      </c>
      <c r="L77" s="8">
        <v>247.65652964115719</v>
      </c>
      <c r="M77" s="5">
        <f>Tabela2[[#This Row],[Lucro]]/Tabela2[[#This Row],[Receita]]</f>
        <v>0.36176636959018216</v>
      </c>
    </row>
    <row r="78" spans="1:13" x14ac:dyDescent="0.3">
      <c r="A78" s="1">
        <v>45018</v>
      </c>
      <c r="B78" t="str">
        <f>TEXT(Tabela2[[#This Row],[Data]],"mmm")</f>
        <v>abr</v>
      </c>
      <c r="C78">
        <f>YEAR(Tabela2[[#This Row],[Data]])</f>
        <v>2023</v>
      </c>
      <c r="D78" t="s">
        <v>18</v>
      </c>
      <c r="E78" t="s">
        <v>15</v>
      </c>
      <c r="F78" t="s">
        <v>24</v>
      </c>
      <c r="G78" t="s">
        <v>17</v>
      </c>
      <c r="H78">
        <v>5</v>
      </c>
      <c r="I78" s="8">
        <v>83.080913961414183</v>
      </c>
      <c r="J78" s="8">
        <v>415.40456980707091</v>
      </c>
      <c r="K78" s="8">
        <v>261.07942196492661</v>
      </c>
      <c r="L78" s="8">
        <v>154.32514784214439</v>
      </c>
      <c r="M78" s="5">
        <f>Tabela2[[#This Row],[Lucro]]/Tabela2[[#This Row],[Receita]]</f>
        <v>0.37150565751796771</v>
      </c>
    </row>
    <row r="79" spans="1:13" x14ac:dyDescent="0.3">
      <c r="A79" s="1">
        <v>45019</v>
      </c>
      <c r="B79" t="str">
        <f>TEXT(Tabela2[[#This Row],[Data]],"mmm")</f>
        <v>abr</v>
      </c>
      <c r="C79">
        <f>YEAR(Tabela2[[#This Row],[Data]])</f>
        <v>2023</v>
      </c>
      <c r="D79" t="s">
        <v>26</v>
      </c>
      <c r="E79" t="s">
        <v>11</v>
      </c>
      <c r="F79" t="s">
        <v>21</v>
      </c>
      <c r="G79" t="s">
        <v>22</v>
      </c>
      <c r="H79">
        <v>1</v>
      </c>
      <c r="I79" s="8">
        <v>2249.8762911184481</v>
      </c>
      <c r="J79" s="8">
        <v>2249.8762911184481</v>
      </c>
      <c r="K79" s="8">
        <v>1134.837864731885</v>
      </c>
      <c r="L79" s="8">
        <v>1115.0384263865631</v>
      </c>
      <c r="M79" s="5">
        <f>Tabela2[[#This Row],[Lucro]]/Tabela2[[#This Row],[Receita]]</f>
        <v>0.49559988288612095</v>
      </c>
    </row>
    <row r="80" spans="1:13" x14ac:dyDescent="0.3">
      <c r="A80" s="1">
        <v>45019</v>
      </c>
      <c r="B80" t="str">
        <f>TEXT(Tabela2[[#This Row],[Data]],"mmm")</f>
        <v>abr</v>
      </c>
      <c r="C80">
        <f>YEAR(Tabela2[[#This Row],[Data]])</f>
        <v>2023</v>
      </c>
      <c r="D80" t="s">
        <v>18</v>
      </c>
      <c r="E80" t="s">
        <v>15</v>
      </c>
      <c r="F80" t="s">
        <v>19</v>
      </c>
      <c r="G80" t="s">
        <v>22</v>
      </c>
      <c r="H80">
        <v>1</v>
      </c>
      <c r="I80" s="8">
        <v>370.55839146671542</v>
      </c>
      <c r="J80" s="8">
        <v>370.55839146671542</v>
      </c>
      <c r="K80" s="8">
        <v>250.6328418114837</v>
      </c>
      <c r="L80" s="8">
        <v>119.92554965523171</v>
      </c>
      <c r="M80" s="5">
        <f>Tabela2[[#This Row],[Lucro]]/Tabela2[[#This Row],[Receita]]</f>
        <v>0.32363468866688383</v>
      </c>
    </row>
    <row r="81" spans="1:13" x14ac:dyDescent="0.3">
      <c r="A81" s="1">
        <v>45021</v>
      </c>
      <c r="B81" t="str">
        <f>TEXT(Tabela2[[#This Row],[Data]],"mmm")</f>
        <v>abr</v>
      </c>
      <c r="C81">
        <f>YEAR(Tabela2[[#This Row],[Data]])</f>
        <v>2023</v>
      </c>
      <c r="D81" t="s">
        <v>26</v>
      </c>
      <c r="E81" t="s">
        <v>11</v>
      </c>
      <c r="F81" t="s">
        <v>12</v>
      </c>
      <c r="G81" t="s">
        <v>25</v>
      </c>
      <c r="H81">
        <v>2</v>
      </c>
      <c r="I81" s="8">
        <v>665.27125625344638</v>
      </c>
      <c r="J81" s="8">
        <v>1330.542512506893</v>
      </c>
      <c r="K81" s="8">
        <v>957.00633028355423</v>
      </c>
      <c r="L81" s="8">
        <v>373.53618222333853</v>
      </c>
      <c r="M81" s="5">
        <f>Tabela2[[#This Row],[Lucro]]/Tabela2[[#This Row],[Receita]]</f>
        <v>0.28073975743890661</v>
      </c>
    </row>
    <row r="82" spans="1:13" x14ac:dyDescent="0.3">
      <c r="A82" s="1">
        <v>45022</v>
      </c>
      <c r="B82" t="str">
        <f>TEXT(Tabela2[[#This Row],[Data]],"mmm")</f>
        <v>abr</v>
      </c>
      <c r="C82">
        <f>YEAR(Tabela2[[#This Row],[Data]])</f>
        <v>2023</v>
      </c>
      <c r="D82" t="s">
        <v>26</v>
      </c>
      <c r="E82" t="s">
        <v>11</v>
      </c>
      <c r="F82" t="s">
        <v>19</v>
      </c>
      <c r="G82" t="s">
        <v>20</v>
      </c>
      <c r="H82">
        <v>5</v>
      </c>
      <c r="I82" s="8">
        <v>2007.800090752625</v>
      </c>
      <c r="J82" s="8">
        <v>10039.00045376313</v>
      </c>
      <c r="K82" s="8">
        <v>6845.1588580335701</v>
      </c>
      <c r="L82" s="8">
        <v>3193.841595729557</v>
      </c>
      <c r="M82" s="5">
        <f>Tabela2[[#This Row],[Lucro]]/Tabela2[[#This Row],[Receita]]</f>
        <v>0.31814338593164843</v>
      </c>
    </row>
    <row r="83" spans="1:13" x14ac:dyDescent="0.3">
      <c r="A83" s="1">
        <v>45025</v>
      </c>
      <c r="B83" t="str">
        <f>TEXT(Tabela2[[#This Row],[Data]],"mmm")</f>
        <v>abr</v>
      </c>
      <c r="C83">
        <f>YEAR(Tabela2[[#This Row],[Data]])</f>
        <v>2023</v>
      </c>
      <c r="D83" t="s">
        <v>10</v>
      </c>
      <c r="E83" t="s">
        <v>11</v>
      </c>
      <c r="F83" t="s">
        <v>24</v>
      </c>
      <c r="G83" t="s">
        <v>22</v>
      </c>
      <c r="H83">
        <v>7</v>
      </c>
      <c r="I83" s="8">
        <v>472.8243296282497</v>
      </c>
      <c r="J83" s="8">
        <v>3309.7703073977482</v>
      </c>
      <c r="K83" s="8">
        <v>2515.8721935771382</v>
      </c>
      <c r="L83" s="8">
        <v>793.89811382060952</v>
      </c>
      <c r="M83" s="5">
        <f>Tabela2[[#This Row],[Lucro]]/Tabela2[[#This Row],[Receita]]</f>
        <v>0.23986501783708331</v>
      </c>
    </row>
    <row r="84" spans="1:13" x14ac:dyDescent="0.3">
      <c r="A84" s="1">
        <v>45026</v>
      </c>
      <c r="B84" t="str">
        <f>TEXT(Tabela2[[#This Row],[Data]],"mmm")</f>
        <v>abr</v>
      </c>
      <c r="C84">
        <f>YEAR(Tabela2[[#This Row],[Data]])</f>
        <v>2023</v>
      </c>
      <c r="D84" t="s">
        <v>10</v>
      </c>
      <c r="E84" t="s">
        <v>11</v>
      </c>
      <c r="F84" t="s">
        <v>24</v>
      </c>
      <c r="G84" t="s">
        <v>22</v>
      </c>
      <c r="H84">
        <v>2</v>
      </c>
      <c r="I84" s="8">
        <v>617.99178545631662</v>
      </c>
      <c r="J84" s="8">
        <v>1235.983570912633</v>
      </c>
      <c r="K84" s="8">
        <v>673.50127892488592</v>
      </c>
      <c r="L84" s="8">
        <v>562.48229198774732</v>
      </c>
      <c r="M84" s="5">
        <f>Tabela2[[#This Row],[Lucro]]/Tabela2[[#This Row],[Receita]]</f>
        <v>0.45508880961291276</v>
      </c>
    </row>
    <row r="85" spans="1:13" x14ac:dyDescent="0.3">
      <c r="A85" s="1">
        <v>45026</v>
      </c>
      <c r="B85" t="str">
        <f>TEXT(Tabela2[[#This Row],[Data]],"mmm")</f>
        <v>abr</v>
      </c>
      <c r="C85">
        <f>YEAR(Tabela2[[#This Row],[Data]])</f>
        <v>2023</v>
      </c>
      <c r="D85" t="s">
        <v>18</v>
      </c>
      <c r="E85" t="s">
        <v>15</v>
      </c>
      <c r="F85" t="s">
        <v>19</v>
      </c>
      <c r="G85" t="s">
        <v>20</v>
      </c>
      <c r="H85">
        <v>3</v>
      </c>
      <c r="I85" s="8">
        <v>412.4462816924684</v>
      </c>
      <c r="J85" s="8">
        <v>1237.338845077405</v>
      </c>
      <c r="K85" s="8">
        <v>936.59986781364933</v>
      </c>
      <c r="L85" s="8">
        <v>300.73897726375588</v>
      </c>
      <c r="M85" s="5">
        <f>Tabela2[[#This Row],[Lucro]]/Tabela2[[#This Row],[Receita]]</f>
        <v>0.2430530476435033</v>
      </c>
    </row>
    <row r="86" spans="1:13" x14ac:dyDescent="0.3">
      <c r="A86" s="1">
        <v>45027</v>
      </c>
      <c r="B86" t="str">
        <f>TEXT(Tabela2[[#This Row],[Data]],"mmm")</f>
        <v>abr</v>
      </c>
      <c r="C86">
        <f>YEAR(Tabela2[[#This Row],[Data]])</f>
        <v>2023</v>
      </c>
      <c r="D86" t="s">
        <v>26</v>
      </c>
      <c r="E86" t="s">
        <v>11</v>
      </c>
      <c r="F86" t="s">
        <v>21</v>
      </c>
      <c r="G86" t="s">
        <v>22</v>
      </c>
      <c r="H86">
        <v>8</v>
      </c>
      <c r="I86" s="8">
        <v>3050.2043112264009</v>
      </c>
      <c r="J86" s="8">
        <v>24401.634489811211</v>
      </c>
      <c r="K86" s="8">
        <v>18015.40549606405</v>
      </c>
      <c r="L86" s="8">
        <v>6386.2289937471651</v>
      </c>
      <c r="M86" s="5">
        <f>Tabela2[[#This Row],[Lucro]]/Tabela2[[#This Row],[Receita]]</f>
        <v>0.26171316501006131</v>
      </c>
    </row>
    <row r="87" spans="1:13" x14ac:dyDescent="0.3">
      <c r="A87" s="1">
        <v>45027</v>
      </c>
      <c r="B87" t="str">
        <f>TEXT(Tabela2[[#This Row],[Data]],"mmm")</f>
        <v>abr</v>
      </c>
      <c r="C87">
        <f>YEAR(Tabela2[[#This Row],[Data]])</f>
        <v>2023</v>
      </c>
      <c r="D87" t="s">
        <v>10</v>
      </c>
      <c r="E87" t="s">
        <v>11</v>
      </c>
      <c r="F87" t="s">
        <v>16</v>
      </c>
      <c r="G87" t="s">
        <v>22</v>
      </c>
      <c r="H87">
        <v>1</v>
      </c>
      <c r="I87" s="8">
        <v>528.15812204907456</v>
      </c>
      <c r="J87" s="8">
        <v>528.15812204907456</v>
      </c>
      <c r="K87" s="8">
        <v>296.82766803536242</v>
      </c>
      <c r="L87" s="8">
        <v>231.3304540137122</v>
      </c>
      <c r="M87" s="5">
        <f>Tabela2[[#This Row],[Lucro]]/Tabela2[[#This Row],[Receita]]</f>
        <v>0.43799469203697639</v>
      </c>
    </row>
    <row r="88" spans="1:13" x14ac:dyDescent="0.3">
      <c r="A88" s="1">
        <v>45028</v>
      </c>
      <c r="B88" t="str">
        <f>TEXT(Tabela2[[#This Row],[Data]],"mmm")</f>
        <v>abr</v>
      </c>
      <c r="C88">
        <f>YEAR(Tabela2[[#This Row],[Data]])</f>
        <v>2023</v>
      </c>
      <c r="D88" t="s">
        <v>18</v>
      </c>
      <c r="E88" t="s">
        <v>15</v>
      </c>
      <c r="F88" t="s">
        <v>19</v>
      </c>
      <c r="G88" t="s">
        <v>13</v>
      </c>
      <c r="H88">
        <v>5</v>
      </c>
      <c r="I88" s="8">
        <v>91.43401719477464</v>
      </c>
      <c r="J88" s="8">
        <v>457.1700859738732</v>
      </c>
      <c r="K88" s="8">
        <v>354.39554083465902</v>
      </c>
      <c r="L88" s="8">
        <v>102.7745451392142</v>
      </c>
      <c r="M88" s="5">
        <f>Tabela2[[#This Row],[Lucro]]/Tabela2[[#This Row],[Receita]]</f>
        <v>0.2248059273613271</v>
      </c>
    </row>
    <row r="89" spans="1:13" x14ac:dyDescent="0.3">
      <c r="A89" s="1">
        <v>45029</v>
      </c>
      <c r="B89" t="str">
        <f>TEXT(Tabela2[[#This Row],[Data]],"mmm")</f>
        <v>abr</v>
      </c>
      <c r="C89">
        <f>YEAR(Tabela2[[#This Row],[Data]])</f>
        <v>2023</v>
      </c>
      <c r="D89" t="s">
        <v>10</v>
      </c>
      <c r="E89" t="s">
        <v>11</v>
      </c>
      <c r="F89" t="s">
        <v>12</v>
      </c>
      <c r="G89" t="s">
        <v>13</v>
      </c>
      <c r="H89">
        <v>8</v>
      </c>
      <c r="I89" s="8">
        <v>486.95361767368848</v>
      </c>
      <c r="J89" s="8">
        <v>3895.6289413895079</v>
      </c>
      <c r="K89" s="8">
        <v>2130.1516900258939</v>
      </c>
      <c r="L89" s="8">
        <v>1765.477251363614</v>
      </c>
      <c r="M89" s="5">
        <f>Tabela2[[#This Row],[Lucro]]/Tabela2[[#This Row],[Receita]]</f>
        <v>0.453194407867269</v>
      </c>
    </row>
    <row r="90" spans="1:13" x14ac:dyDescent="0.3">
      <c r="A90" s="1">
        <v>45030</v>
      </c>
      <c r="B90" t="str">
        <f>TEXT(Tabela2[[#This Row],[Data]],"mmm")</f>
        <v>abr</v>
      </c>
      <c r="C90">
        <f>YEAR(Tabela2[[#This Row],[Data]])</f>
        <v>2023</v>
      </c>
      <c r="D90" t="s">
        <v>10</v>
      </c>
      <c r="E90" t="s">
        <v>11</v>
      </c>
      <c r="F90" t="s">
        <v>16</v>
      </c>
      <c r="G90" t="s">
        <v>22</v>
      </c>
      <c r="H90">
        <v>3</v>
      </c>
      <c r="I90" s="8">
        <v>779.45779266914747</v>
      </c>
      <c r="J90" s="8">
        <v>2338.3733780074431</v>
      </c>
      <c r="K90" s="8">
        <v>1368.360663638925</v>
      </c>
      <c r="L90" s="8">
        <v>970.01271436851721</v>
      </c>
      <c r="M90" s="5">
        <f>Tabela2[[#This Row],[Lucro]]/Tabela2[[#This Row],[Receita]]</f>
        <v>0.41482370757876019</v>
      </c>
    </row>
    <row r="91" spans="1:13" x14ac:dyDescent="0.3">
      <c r="A91" s="1">
        <v>45034</v>
      </c>
      <c r="B91" t="str">
        <f>TEXT(Tabela2[[#This Row],[Data]],"mmm")</f>
        <v>abr</v>
      </c>
      <c r="C91">
        <f>YEAR(Tabela2[[#This Row],[Data]])</f>
        <v>2023</v>
      </c>
      <c r="D91" t="s">
        <v>10</v>
      </c>
      <c r="E91" t="s">
        <v>11</v>
      </c>
      <c r="F91" t="s">
        <v>12</v>
      </c>
      <c r="G91" t="s">
        <v>20</v>
      </c>
      <c r="H91">
        <v>3</v>
      </c>
      <c r="I91" s="8">
        <v>563.10524518494901</v>
      </c>
      <c r="J91" s="8">
        <v>1689.3157355548469</v>
      </c>
      <c r="K91" s="8">
        <v>1016.904705101782</v>
      </c>
      <c r="L91" s="8">
        <v>672.41103045306522</v>
      </c>
      <c r="M91" s="5">
        <f>Tabela2[[#This Row],[Lucro]]/Tabela2[[#This Row],[Receita]]</f>
        <v>0.39803751086958017</v>
      </c>
    </row>
    <row r="92" spans="1:13" x14ac:dyDescent="0.3">
      <c r="A92" s="1">
        <v>45034</v>
      </c>
      <c r="B92" t="str">
        <f>TEXT(Tabela2[[#This Row],[Data]],"mmm")</f>
        <v>abr</v>
      </c>
      <c r="C92">
        <f>YEAR(Tabela2[[#This Row],[Data]])</f>
        <v>2023</v>
      </c>
      <c r="D92" t="s">
        <v>23</v>
      </c>
      <c r="E92" t="s">
        <v>15</v>
      </c>
      <c r="F92" t="s">
        <v>19</v>
      </c>
      <c r="G92" t="s">
        <v>17</v>
      </c>
      <c r="H92">
        <v>4</v>
      </c>
      <c r="I92" s="8">
        <v>340.85604594420931</v>
      </c>
      <c r="J92" s="8">
        <v>1363.424183776837</v>
      </c>
      <c r="K92" s="8">
        <v>967.83165139057633</v>
      </c>
      <c r="L92" s="8">
        <v>395.59253238626093</v>
      </c>
      <c r="M92" s="5">
        <f>Tabela2[[#This Row],[Lucro]]/Tabela2[[#This Row],[Receita]]</f>
        <v>0.29014633676984186</v>
      </c>
    </row>
    <row r="93" spans="1:13" x14ac:dyDescent="0.3">
      <c r="A93" s="1">
        <v>45037</v>
      </c>
      <c r="B93" t="str">
        <f>TEXT(Tabela2[[#This Row],[Data]],"mmm")</f>
        <v>abr</v>
      </c>
      <c r="C93">
        <f>YEAR(Tabela2[[#This Row],[Data]])</f>
        <v>2023</v>
      </c>
      <c r="D93" t="s">
        <v>10</v>
      </c>
      <c r="E93" t="s">
        <v>11</v>
      </c>
      <c r="F93" t="s">
        <v>16</v>
      </c>
      <c r="G93" t="s">
        <v>25</v>
      </c>
      <c r="H93">
        <v>4</v>
      </c>
      <c r="I93" s="8">
        <v>736.62540736338224</v>
      </c>
      <c r="J93" s="8">
        <v>2946.5016294535289</v>
      </c>
      <c r="K93" s="8">
        <v>2171.6465159344611</v>
      </c>
      <c r="L93" s="8">
        <v>774.85511351906825</v>
      </c>
      <c r="M93" s="5">
        <f>Tabela2[[#This Row],[Lucro]]/Tabela2[[#This Row],[Receita]]</f>
        <v>0.26297460886277407</v>
      </c>
    </row>
    <row r="94" spans="1:13" x14ac:dyDescent="0.3">
      <c r="A94" s="1">
        <v>45038</v>
      </c>
      <c r="B94" t="str">
        <f>TEXT(Tabela2[[#This Row],[Data]],"mmm")</f>
        <v>abr</v>
      </c>
      <c r="C94">
        <f>YEAR(Tabela2[[#This Row],[Data]])</f>
        <v>2023</v>
      </c>
      <c r="D94" t="s">
        <v>23</v>
      </c>
      <c r="E94" t="s">
        <v>15</v>
      </c>
      <c r="F94" t="s">
        <v>12</v>
      </c>
      <c r="G94" t="s">
        <v>20</v>
      </c>
      <c r="H94">
        <v>3</v>
      </c>
      <c r="I94" s="8">
        <v>724.45782576776844</v>
      </c>
      <c r="J94" s="8">
        <v>2173.3734773033052</v>
      </c>
      <c r="K94" s="8">
        <v>1489.1501127638639</v>
      </c>
      <c r="L94" s="8">
        <v>684.22336453944126</v>
      </c>
      <c r="M94" s="5">
        <f>Tabela2[[#This Row],[Lucro]]/Tabela2[[#This Row],[Receita]]</f>
        <v>0.3148208863708124</v>
      </c>
    </row>
    <row r="95" spans="1:13" x14ac:dyDescent="0.3">
      <c r="A95" s="1">
        <v>45039</v>
      </c>
      <c r="B95" t="str">
        <f>TEXT(Tabela2[[#This Row],[Data]],"mmm")</f>
        <v>abr</v>
      </c>
      <c r="C95">
        <f>YEAR(Tabela2[[#This Row],[Data]])</f>
        <v>2023</v>
      </c>
      <c r="D95" t="s">
        <v>18</v>
      </c>
      <c r="E95" t="s">
        <v>15</v>
      </c>
      <c r="F95" t="s">
        <v>24</v>
      </c>
      <c r="G95" t="s">
        <v>25</v>
      </c>
      <c r="H95">
        <v>6</v>
      </c>
      <c r="I95" s="8">
        <v>45.779571662427742</v>
      </c>
      <c r="J95" s="8">
        <v>274.67742997456651</v>
      </c>
      <c r="K95" s="8">
        <v>165.7737000571089</v>
      </c>
      <c r="L95" s="8">
        <v>108.9037299174576</v>
      </c>
      <c r="M95" s="5">
        <f>Tabela2[[#This Row],[Lucro]]/Tabela2[[#This Row],[Receita]]</f>
        <v>0.39647862559199504</v>
      </c>
    </row>
    <row r="96" spans="1:13" x14ac:dyDescent="0.3">
      <c r="A96" s="1">
        <v>45040</v>
      </c>
      <c r="B96" t="str">
        <f>TEXT(Tabela2[[#This Row],[Data]],"mmm")</f>
        <v>abr</v>
      </c>
      <c r="C96">
        <f>YEAR(Tabela2[[#This Row],[Data]])</f>
        <v>2023</v>
      </c>
      <c r="D96" t="s">
        <v>18</v>
      </c>
      <c r="E96" t="s">
        <v>15</v>
      </c>
      <c r="F96" t="s">
        <v>21</v>
      </c>
      <c r="G96" t="s">
        <v>20</v>
      </c>
      <c r="H96">
        <v>8</v>
      </c>
      <c r="I96" s="8">
        <v>694.39489204492861</v>
      </c>
      <c r="J96" s="8">
        <v>5555.1591363594289</v>
      </c>
      <c r="K96" s="8">
        <v>4058.3537789707589</v>
      </c>
      <c r="L96" s="8">
        <v>1496.80535738867</v>
      </c>
      <c r="M96" s="5">
        <f>Tabela2[[#This Row],[Lucro]]/Tabela2[[#This Row],[Receita]]</f>
        <v>0.26944419064286262</v>
      </c>
    </row>
    <row r="97" spans="1:13" x14ac:dyDescent="0.3">
      <c r="A97" s="1">
        <v>45041</v>
      </c>
      <c r="B97" t="str">
        <f>TEXT(Tabela2[[#This Row],[Data]],"mmm")</f>
        <v>abr</v>
      </c>
      <c r="C97">
        <f>YEAR(Tabela2[[#This Row],[Data]])</f>
        <v>2023</v>
      </c>
      <c r="D97" t="s">
        <v>26</v>
      </c>
      <c r="E97" t="s">
        <v>11</v>
      </c>
      <c r="F97" t="s">
        <v>21</v>
      </c>
      <c r="G97" t="s">
        <v>20</v>
      </c>
      <c r="H97">
        <v>9</v>
      </c>
      <c r="I97" s="8">
        <v>1326.5440428943509</v>
      </c>
      <c r="J97" s="8">
        <v>11938.89638604916</v>
      </c>
      <c r="K97" s="8">
        <v>6468.5755117611934</v>
      </c>
      <c r="L97" s="8">
        <v>5470.3208742879688</v>
      </c>
      <c r="M97" s="5">
        <f>Tabela2[[#This Row],[Lucro]]/Tabela2[[#This Row],[Receita]]</f>
        <v>0.45819317777815277</v>
      </c>
    </row>
    <row r="98" spans="1:13" x14ac:dyDescent="0.3">
      <c r="A98" s="1">
        <v>45042</v>
      </c>
      <c r="B98" t="str">
        <f>TEXT(Tabela2[[#This Row],[Data]],"mmm")</f>
        <v>abr</v>
      </c>
      <c r="C98">
        <f>YEAR(Tabela2[[#This Row],[Data]])</f>
        <v>2023</v>
      </c>
      <c r="D98" t="s">
        <v>18</v>
      </c>
      <c r="E98" t="s">
        <v>15</v>
      </c>
      <c r="F98" t="s">
        <v>24</v>
      </c>
      <c r="G98" t="s">
        <v>20</v>
      </c>
      <c r="H98">
        <v>2</v>
      </c>
      <c r="I98" s="8">
        <v>660.72376784769585</v>
      </c>
      <c r="J98" s="8">
        <v>1321.4475356953919</v>
      </c>
      <c r="K98" s="8">
        <v>677.05031635213084</v>
      </c>
      <c r="L98" s="8">
        <v>644.39721934326087</v>
      </c>
      <c r="M98" s="5">
        <f>Tabela2[[#This Row],[Lucro]]/Tabela2[[#This Row],[Receita]]</f>
        <v>0.48764495141621833</v>
      </c>
    </row>
    <row r="99" spans="1:13" x14ac:dyDescent="0.3">
      <c r="A99" s="1">
        <v>45049</v>
      </c>
      <c r="B99" t="str">
        <f>TEXT(Tabela2[[#This Row],[Data]],"mmm")</f>
        <v>mai</v>
      </c>
      <c r="C99">
        <f>YEAR(Tabela2[[#This Row],[Data]])</f>
        <v>2023</v>
      </c>
      <c r="D99" t="s">
        <v>10</v>
      </c>
      <c r="E99" t="s">
        <v>11</v>
      </c>
      <c r="F99" t="s">
        <v>12</v>
      </c>
      <c r="G99" t="s">
        <v>22</v>
      </c>
      <c r="H99">
        <v>3</v>
      </c>
      <c r="I99" s="8">
        <v>765.40816861920769</v>
      </c>
      <c r="J99" s="8">
        <v>2296.2245058576232</v>
      </c>
      <c r="K99" s="8">
        <v>1742.003821511282</v>
      </c>
      <c r="L99" s="8">
        <v>554.2206843463407</v>
      </c>
      <c r="M99" s="5">
        <f>Tabela2[[#This Row],[Lucro]]/Tabela2[[#This Row],[Receita]]</f>
        <v>0.24136171482036478</v>
      </c>
    </row>
    <row r="100" spans="1:13" x14ac:dyDescent="0.3">
      <c r="A100" s="1">
        <v>45052</v>
      </c>
      <c r="B100" t="str">
        <f>TEXT(Tabela2[[#This Row],[Data]],"mmm")</f>
        <v>mai</v>
      </c>
      <c r="C100">
        <f>YEAR(Tabela2[[#This Row],[Data]])</f>
        <v>2023</v>
      </c>
      <c r="D100" t="s">
        <v>18</v>
      </c>
      <c r="E100" t="s">
        <v>15</v>
      </c>
      <c r="F100" t="s">
        <v>12</v>
      </c>
      <c r="G100" t="s">
        <v>25</v>
      </c>
      <c r="H100">
        <v>6</v>
      </c>
      <c r="I100" s="8">
        <v>208.8031117789703</v>
      </c>
      <c r="J100" s="8">
        <v>1252.818670673822</v>
      </c>
      <c r="K100" s="8">
        <v>879.0285242410074</v>
      </c>
      <c r="L100" s="8">
        <v>373.79014643281459</v>
      </c>
      <c r="M100" s="5">
        <f>Tabela2[[#This Row],[Lucro]]/Tabela2[[#This Row],[Receita]]</f>
        <v>0.29835933577823637</v>
      </c>
    </row>
    <row r="101" spans="1:13" x14ac:dyDescent="0.3">
      <c r="A101" s="1">
        <v>45055</v>
      </c>
      <c r="B101" t="str">
        <f>TEXT(Tabela2[[#This Row],[Data]],"mmm")</f>
        <v>mai</v>
      </c>
      <c r="C101">
        <f>YEAR(Tabela2[[#This Row],[Data]])</f>
        <v>2023</v>
      </c>
      <c r="D101" t="s">
        <v>14</v>
      </c>
      <c r="E101" t="s">
        <v>15</v>
      </c>
      <c r="F101" t="s">
        <v>19</v>
      </c>
      <c r="G101" t="s">
        <v>22</v>
      </c>
      <c r="H101">
        <v>9</v>
      </c>
      <c r="I101" s="8">
        <v>183.07586417541671</v>
      </c>
      <c r="J101" s="8">
        <v>1647.6827775787499</v>
      </c>
      <c r="K101" s="8">
        <v>1091.4817392185521</v>
      </c>
      <c r="L101" s="8">
        <v>556.20103836019803</v>
      </c>
      <c r="M101" s="5">
        <f>Tabela2[[#This Row],[Lucro]]/Tabela2[[#This Row],[Receita]]</f>
        <v>0.33756560785173029</v>
      </c>
    </row>
    <row r="102" spans="1:13" x14ac:dyDescent="0.3">
      <c r="A102" s="1">
        <v>45055</v>
      </c>
      <c r="B102" t="str">
        <f>TEXT(Tabela2[[#This Row],[Data]],"mmm")</f>
        <v>mai</v>
      </c>
      <c r="C102">
        <f>YEAR(Tabela2[[#This Row],[Data]])</f>
        <v>2023</v>
      </c>
      <c r="D102" t="s">
        <v>18</v>
      </c>
      <c r="E102" t="s">
        <v>15</v>
      </c>
      <c r="F102" t="s">
        <v>24</v>
      </c>
      <c r="G102" t="s">
        <v>22</v>
      </c>
      <c r="H102">
        <v>2</v>
      </c>
      <c r="I102" s="8">
        <v>207.0341401427745</v>
      </c>
      <c r="J102" s="8">
        <v>414.06828028554912</v>
      </c>
      <c r="K102" s="8">
        <v>218.69512567938659</v>
      </c>
      <c r="L102" s="8">
        <v>195.37315460616239</v>
      </c>
      <c r="M102" s="5">
        <f>Tabela2[[#This Row],[Lucro]]/Tabela2[[#This Row],[Receita]]</f>
        <v>0.47183801297561229</v>
      </c>
    </row>
    <row r="103" spans="1:13" x14ac:dyDescent="0.3">
      <c r="A103" s="1">
        <v>45056</v>
      </c>
      <c r="B103" t="str">
        <f>TEXT(Tabela2[[#This Row],[Data]],"mmm")</f>
        <v>mai</v>
      </c>
      <c r="C103">
        <f>YEAR(Tabela2[[#This Row],[Data]])</f>
        <v>2023</v>
      </c>
      <c r="D103" t="s">
        <v>10</v>
      </c>
      <c r="E103" t="s">
        <v>11</v>
      </c>
      <c r="F103" t="s">
        <v>12</v>
      </c>
      <c r="G103" t="s">
        <v>22</v>
      </c>
      <c r="H103">
        <v>2</v>
      </c>
      <c r="I103" s="8">
        <v>49.972552190613499</v>
      </c>
      <c r="J103" s="8">
        <v>99.945104381226997</v>
      </c>
      <c r="K103" s="8">
        <v>77.010561119912936</v>
      </c>
      <c r="L103" s="8">
        <v>22.934543261314062</v>
      </c>
      <c r="M103" s="5">
        <f>Tabela2[[#This Row],[Lucro]]/Tabela2[[#This Row],[Receita]]</f>
        <v>0.22947140235937288</v>
      </c>
    </row>
    <row r="104" spans="1:13" x14ac:dyDescent="0.3">
      <c r="A104" s="1">
        <v>45057</v>
      </c>
      <c r="B104" t="str">
        <f>TEXT(Tabela2[[#This Row],[Data]],"mmm")</f>
        <v>mai</v>
      </c>
      <c r="C104">
        <f>YEAR(Tabela2[[#This Row],[Data]])</f>
        <v>2023</v>
      </c>
      <c r="D104" t="s">
        <v>23</v>
      </c>
      <c r="E104" t="s">
        <v>15</v>
      </c>
      <c r="F104" t="s">
        <v>16</v>
      </c>
      <c r="G104" t="s">
        <v>17</v>
      </c>
      <c r="H104">
        <v>9</v>
      </c>
      <c r="I104" s="8">
        <v>70.740242528518024</v>
      </c>
      <c r="J104" s="8">
        <v>636.66218275666222</v>
      </c>
      <c r="K104" s="8">
        <v>499.56695257851169</v>
      </c>
      <c r="L104" s="8">
        <v>137.0952301781505</v>
      </c>
      <c r="M104" s="5">
        <f>Tabela2[[#This Row],[Lucro]]/Tabela2[[#This Row],[Receita]]</f>
        <v>0.21533433882399999</v>
      </c>
    </row>
    <row r="105" spans="1:13" x14ac:dyDescent="0.3">
      <c r="A105" s="1">
        <v>45060</v>
      </c>
      <c r="B105" t="str">
        <f>TEXT(Tabela2[[#This Row],[Data]],"mmm")</f>
        <v>mai</v>
      </c>
      <c r="C105">
        <f>YEAR(Tabela2[[#This Row],[Data]])</f>
        <v>2023</v>
      </c>
      <c r="D105" t="s">
        <v>26</v>
      </c>
      <c r="E105" t="s">
        <v>11</v>
      </c>
      <c r="F105" t="s">
        <v>16</v>
      </c>
      <c r="G105" t="s">
        <v>22</v>
      </c>
      <c r="H105">
        <v>2</v>
      </c>
      <c r="I105" s="8">
        <v>2805.976320418953</v>
      </c>
      <c r="J105" s="8">
        <v>5611.9526408379052</v>
      </c>
      <c r="K105" s="8">
        <v>3768.3353230810708</v>
      </c>
      <c r="L105" s="8">
        <v>1843.6173177568339</v>
      </c>
      <c r="M105" s="5">
        <f>Tabela2[[#This Row],[Lucro]]/Tabela2[[#This Row],[Receita]]</f>
        <v>0.32851619315903002</v>
      </c>
    </row>
    <row r="106" spans="1:13" x14ac:dyDescent="0.3">
      <c r="A106" s="1">
        <v>45060</v>
      </c>
      <c r="B106" t="str">
        <f>TEXT(Tabela2[[#This Row],[Data]],"mmm")</f>
        <v>mai</v>
      </c>
      <c r="C106">
        <f>YEAR(Tabela2[[#This Row],[Data]])</f>
        <v>2023</v>
      </c>
      <c r="D106" t="s">
        <v>14</v>
      </c>
      <c r="E106" t="s">
        <v>15</v>
      </c>
      <c r="F106" t="s">
        <v>24</v>
      </c>
      <c r="G106" t="s">
        <v>25</v>
      </c>
      <c r="H106">
        <v>9</v>
      </c>
      <c r="I106" s="8">
        <v>405.53360310785172</v>
      </c>
      <c r="J106" s="8">
        <v>3649.802427970666</v>
      </c>
      <c r="K106" s="8">
        <v>2452.624578011666</v>
      </c>
      <c r="L106" s="8">
        <v>1197.177849959</v>
      </c>
      <c r="M106" s="5">
        <f>Tabela2[[#This Row],[Lucro]]/Tabela2[[#This Row],[Receita]]</f>
        <v>0.32801168654617979</v>
      </c>
    </row>
    <row r="107" spans="1:13" x14ac:dyDescent="0.3">
      <c r="A107" s="1">
        <v>45060</v>
      </c>
      <c r="B107" t="str">
        <f>TEXT(Tabela2[[#This Row],[Data]],"mmm")</f>
        <v>mai</v>
      </c>
      <c r="C107">
        <f>YEAR(Tabela2[[#This Row],[Data]])</f>
        <v>2023</v>
      </c>
      <c r="D107" t="s">
        <v>14</v>
      </c>
      <c r="E107" t="s">
        <v>15</v>
      </c>
      <c r="F107" t="s">
        <v>19</v>
      </c>
      <c r="G107" t="s">
        <v>22</v>
      </c>
      <c r="H107">
        <v>5</v>
      </c>
      <c r="I107" s="8">
        <v>37.857183481373802</v>
      </c>
      <c r="J107" s="8">
        <v>189.285917406869</v>
      </c>
      <c r="K107" s="8">
        <v>103.3761083596256</v>
      </c>
      <c r="L107" s="8">
        <v>85.909809047243385</v>
      </c>
      <c r="M107" s="5">
        <f>Tabela2[[#This Row],[Lucro]]/Tabela2[[#This Row],[Receita]]</f>
        <v>0.45386265509959062</v>
      </c>
    </row>
    <row r="108" spans="1:13" x14ac:dyDescent="0.3">
      <c r="A108" s="1">
        <v>45062</v>
      </c>
      <c r="B108" t="str">
        <f>TEXT(Tabela2[[#This Row],[Data]],"mmm")</f>
        <v>mai</v>
      </c>
      <c r="C108">
        <f>YEAR(Tabela2[[#This Row],[Data]])</f>
        <v>2023</v>
      </c>
      <c r="D108" t="s">
        <v>10</v>
      </c>
      <c r="E108" t="s">
        <v>11</v>
      </c>
      <c r="F108" t="s">
        <v>16</v>
      </c>
      <c r="G108" t="s">
        <v>17</v>
      </c>
      <c r="H108">
        <v>7</v>
      </c>
      <c r="I108" s="8">
        <v>331.46641433126041</v>
      </c>
      <c r="J108" s="8">
        <v>2320.264900318823</v>
      </c>
      <c r="K108" s="8">
        <v>1266.226107952539</v>
      </c>
      <c r="L108" s="8">
        <v>1054.0387923662829</v>
      </c>
      <c r="M108" s="5">
        <f>Tabela2[[#This Row],[Lucro]]/Tabela2[[#This Row],[Receita]]</f>
        <v>0.45427519600087451</v>
      </c>
    </row>
    <row r="109" spans="1:13" x14ac:dyDescent="0.3">
      <c r="A109" s="1">
        <v>45062</v>
      </c>
      <c r="B109" t="str">
        <f>TEXT(Tabela2[[#This Row],[Data]],"mmm")</f>
        <v>mai</v>
      </c>
      <c r="C109">
        <f>YEAR(Tabela2[[#This Row],[Data]])</f>
        <v>2023</v>
      </c>
      <c r="D109" t="s">
        <v>23</v>
      </c>
      <c r="E109" t="s">
        <v>15</v>
      </c>
      <c r="F109" t="s">
        <v>12</v>
      </c>
      <c r="G109" t="s">
        <v>25</v>
      </c>
      <c r="H109">
        <v>2</v>
      </c>
      <c r="I109" s="8">
        <v>29.518396408074722</v>
      </c>
      <c r="J109" s="8">
        <v>59.036792816149443</v>
      </c>
      <c r="K109" s="8">
        <v>40.117437737091663</v>
      </c>
      <c r="L109" s="8">
        <v>18.91935507905778</v>
      </c>
      <c r="M109" s="5">
        <f>Tabela2[[#This Row],[Lucro]]/Tabela2[[#This Row],[Receita]]</f>
        <v>0.32046718963843196</v>
      </c>
    </row>
    <row r="110" spans="1:13" x14ac:dyDescent="0.3">
      <c r="A110" s="1">
        <v>45063</v>
      </c>
      <c r="B110" t="str">
        <f>TEXT(Tabela2[[#This Row],[Data]],"mmm")</f>
        <v>mai</v>
      </c>
      <c r="C110">
        <f>YEAR(Tabela2[[#This Row],[Data]])</f>
        <v>2023</v>
      </c>
      <c r="D110" t="s">
        <v>18</v>
      </c>
      <c r="E110" t="s">
        <v>15</v>
      </c>
      <c r="F110" t="s">
        <v>19</v>
      </c>
      <c r="G110" t="s">
        <v>13</v>
      </c>
      <c r="H110">
        <v>3</v>
      </c>
      <c r="I110" s="8">
        <v>742.63055039997471</v>
      </c>
      <c r="J110" s="8">
        <v>2227.8916511999241</v>
      </c>
      <c r="K110" s="8">
        <v>1596.2375048859919</v>
      </c>
      <c r="L110" s="8">
        <v>631.65414631393219</v>
      </c>
      <c r="M110" s="5">
        <f>Tabela2[[#This Row],[Lucro]]/Tabela2[[#This Row],[Receita]]</f>
        <v>0.28352103477461682</v>
      </c>
    </row>
    <row r="111" spans="1:13" x14ac:dyDescent="0.3">
      <c r="A111" s="1">
        <v>45064</v>
      </c>
      <c r="B111" t="str">
        <f>TEXT(Tabela2[[#This Row],[Data]],"mmm")</f>
        <v>mai</v>
      </c>
      <c r="C111">
        <f>YEAR(Tabela2[[#This Row],[Data]])</f>
        <v>2023</v>
      </c>
      <c r="D111" t="s">
        <v>26</v>
      </c>
      <c r="E111" t="s">
        <v>11</v>
      </c>
      <c r="F111" t="s">
        <v>24</v>
      </c>
      <c r="G111" t="s">
        <v>22</v>
      </c>
      <c r="H111">
        <v>4</v>
      </c>
      <c r="I111" s="8">
        <v>2322.721993379394</v>
      </c>
      <c r="J111" s="8">
        <v>9290.8879735175742</v>
      </c>
      <c r="K111" s="8">
        <v>7377.0558469713769</v>
      </c>
      <c r="L111" s="8">
        <v>1913.8321265461971</v>
      </c>
      <c r="M111" s="5">
        <f>Tabela2[[#This Row],[Lucro]]/Tabela2[[#This Row],[Receita]]</f>
        <v>0.20599022741435674</v>
      </c>
    </row>
    <row r="112" spans="1:13" x14ac:dyDescent="0.3">
      <c r="A112" s="1">
        <v>45067</v>
      </c>
      <c r="B112" t="str">
        <f>TEXT(Tabela2[[#This Row],[Data]],"mmm")</f>
        <v>mai</v>
      </c>
      <c r="C112">
        <f>YEAR(Tabela2[[#This Row],[Data]])</f>
        <v>2023</v>
      </c>
      <c r="D112" t="s">
        <v>18</v>
      </c>
      <c r="E112" t="s">
        <v>15</v>
      </c>
      <c r="F112" t="s">
        <v>19</v>
      </c>
      <c r="G112" t="s">
        <v>20</v>
      </c>
      <c r="H112">
        <v>4</v>
      </c>
      <c r="I112" s="8">
        <v>112.6779746890961</v>
      </c>
      <c r="J112" s="8">
        <v>450.71189875638441</v>
      </c>
      <c r="K112" s="8">
        <v>241.2470927297783</v>
      </c>
      <c r="L112" s="8">
        <v>209.46480602660611</v>
      </c>
      <c r="M112" s="5">
        <f>Tabela2[[#This Row],[Lucro]]/Tabela2[[#This Row],[Receita]]</f>
        <v>0.46474212596686854</v>
      </c>
    </row>
    <row r="113" spans="1:13" x14ac:dyDescent="0.3">
      <c r="A113" s="1">
        <v>45068</v>
      </c>
      <c r="B113" t="str">
        <f>TEXT(Tabela2[[#This Row],[Data]],"mmm")</f>
        <v>mai</v>
      </c>
      <c r="C113">
        <f>YEAR(Tabela2[[#This Row],[Data]])</f>
        <v>2023</v>
      </c>
      <c r="D113" t="s">
        <v>18</v>
      </c>
      <c r="E113" t="s">
        <v>15</v>
      </c>
      <c r="F113" t="s">
        <v>19</v>
      </c>
      <c r="G113" t="s">
        <v>20</v>
      </c>
      <c r="H113">
        <v>5</v>
      </c>
      <c r="I113" s="8">
        <v>52.832687916362268</v>
      </c>
      <c r="J113" s="8">
        <v>264.16343958181142</v>
      </c>
      <c r="K113" s="8">
        <v>133.4982118143175</v>
      </c>
      <c r="L113" s="8">
        <v>130.66522776749389</v>
      </c>
      <c r="M113" s="5">
        <f>Tabela2[[#This Row],[Lucro]]/Tabela2[[#This Row],[Receita]]</f>
        <v>0.49463781957997588</v>
      </c>
    </row>
    <row r="114" spans="1:13" x14ac:dyDescent="0.3">
      <c r="A114" s="1">
        <v>45068</v>
      </c>
      <c r="B114" t="str">
        <f>TEXT(Tabela2[[#This Row],[Data]],"mmm")</f>
        <v>mai</v>
      </c>
      <c r="C114">
        <f>YEAR(Tabela2[[#This Row],[Data]])</f>
        <v>2023</v>
      </c>
      <c r="D114" t="s">
        <v>10</v>
      </c>
      <c r="E114" t="s">
        <v>11</v>
      </c>
      <c r="F114" t="s">
        <v>16</v>
      </c>
      <c r="G114" t="s">
        <v>25</v>
      </c>
      <c r="H114">
        <v>2</v>
      </c>
      <c r="I114" s="8">
        <v>93.305913075877825</v>
      </c>
      <c r="J114" s="8">
        <v>186.61182615175571</v>
      </c>
      <c r="K114" s="8">
        <v>125.68008701745509</v>
      </c>
      <c r="L114" s="8">
        <v>60.931739134300599</v>
      </c>
      <c r="M114" s="5">
        <f>Tabela2[[#This Row],[Lucro]]/Tabela2[[#This Row],[Receita]]</f>
        <v>0.32651595770114772</v>
      </c>
    </row>
    <row r="115" spans="1:13" x14ac:dyDescent="0.3">
      <c r="A115" s="1">
        <v>45071</v>
      </c>
      <c r="B115" t="str">
        <f>TEXT(Tabela2[[#This Row],[Data]],"mmm")</f>
        <v>mai</v>
      </c>
      <c r="C115">
        <f>YEAR(Tabela2[[#This Row],[Data]])</f>
        <v>2023</v>
      </c>
      <c r="D115" t="s">
        <v>26</v>
      </c>
      <c r="E115" t="s">
        <v>11</v>
      </c>
      <c r="F115" t="s">
        <v>21</v>
      </c>
      <c r="G115" t="s">
        <v>17</v>
      </c>
      <c r="H115">
        <v>4</v>
      </c>
      <c r="I115" s="8">
        <v>3033.7703160153278</v>
      </c>
      <c r="J115" s="8">
        <v>12135.081264061309</v>
      </c>
      <c r="K115" s="8">
        <v>7053.9685353425284</v>
      </c>
      <c r="L115" s="8">
        <v>5081.1127287187837</v>
      </c>
      <c r="M115" s="5">
        <f>Tabela2[[#This Row],[Lucro]]/Tabela2[[#This Row],[Receita]]</f>
        <v>0.41871270724546117</v>
      </c>
    </row>
    <row r="116" spans="1:13" x14ac:dyDescent="0.3">
      <c r="A116" s="1">
        <v>45071</v>
      </c>
      <c r="B116" t="str">
        <f>TEXT(Tabela2[[#This Row],[Data]],"mmm")</f>
        <v>mai</v>
      </c>
      <c r="C116">
        <f>YEAR(Tabela2[[#This Row],[Data]])</f>
        <v>2023</v>
      </c>
      <c r="D116" t="s">
        <v>26</v>
      </c>
      <c r="E116" t="s">
        <v>11</v>
      </c>
      <c r="F116" t="s">
        <v>24</v>
      </c>
      <c r="G116" t="s">
        <v>17</v>
      </c>
      <c r="H116">
        <v>8</v>
      </c>
      <c r="I116" s="8">
        <v>1183.6756850777419</v>
      </c>
      <c r="J116" s="8">
        <v>9469.4054806219356</v>
      </c>
      <c r="K116" s="8">
        <v>6276.8408114333042</v>
      </c>
      <c r="L116" s="8">
        <v>3192.5646691886309</v>
      </c>
      <c r="M116" s="5">
        <f>Tabela2[[#This Row],[Lucro]]/Tabela2[[#This Row],[Receita]]</f>
        <v>0.33714520681597726</v>
      </c>
    </row>
    <row r="117" spans="1:13" x14ac:dyDescent="0.3">
      <c r="A117" s="1">
        <v>45072</v>
      </c>
      <c r="B117" t="str">
        <f>TEXT(Tabela2[[#This Row],[Data]],"mmm")</f>
        <v>mai</v>
      </c>
      <c r="C117">
        <f>YEAR(Tabela2[[#This Row],[Data]])</f>
        <v>2023</v>
      </c>
      <c r="D117" t="s">
        <v>23</v>
      </c>
      <c r="E117" t="s">
        <v>15</v>
      </c>
      <c r="F117" t="s">
        <v>24</v>
      </c>
      <c r="G117" t="s">
        <v>25</v>
      </c>
      <c r="H117">
        <v>9</v>
      </c>
      <c r="I117" s="8">
        <v>233.7630721360207</v>
      </c>
      <c r="J117" s="8">
        <v>2103.8676492241862</v>
      </c>
      <c r="K117" s="8">
        <v>1401.70897603349</v>
      </c>
      <c r="L117" s="8">
        <v>702.15867319069571</v>
      </c>
      <c r="M117" s="5">
        <f>Tabela2[[#This Row],[Lucro]]/Tabela2[[#This Row],[Receita]]</f>
        <v>0.3337465992452619</v>
      </c>
    </row>
    <row r="118" spans="1:13" x14ac:dyDescent="0.3">
      <c r="A118" s="1">
        <v>45076</v>
      </c>
      <c r="B118" t="str">
        <f>TEXT(Tabela2[[#This Row],[Data]],"mmm")</f>
        <v>mai</v>
      </c>
      <c r="C118">
        <f>YEAR(Tabela2[[#This Row],[Data]])</f>
        <v>2023</v>
      </c>
      <c r="D118" t="s">
        <v>23</v>
      </c>
      <c r="E118" t="s">
        <v>15</v>
      </c>
      <c r="F118" t="s">
        <v>19</v>
      </c>
      <c r="G118" t="s">
        <v>13</v>
      </c>
      <c r="H118">
        <v>8</v>
      </c>
      <c r="I118" s="8">
        <v>719.47703120861161</v>
      </c>
      <c r="J118" s="8">
        <v>5755.8162496688929</v>
      </c>
      <c r="K118" s="8">
        <v>3016.4513339497712</v>
      </c>
      <c r="L118" s="8">
        <v>2739.3649157191221</v>
      </c>
      <c r="M118" s="5">
        <f>Tabela2[[#This Row],[Lucro]]/Tabela2[[#This Row],[Receita]]</f>
        <v>0.47592987630150735</v>
      </c>
    </row>
    <row r="119" spans="1:13" x14ac:dyDescent="0.3">
      <c r="A119" s="1">
        <v>45076</v>
      </c>
      <c r="B119" t="str">
        <f>TEXT(Tabela2[[#This Row],[Data]],"mmm")</f>
        <v>mai</v>
      </c>
      <c r="C119">
        <f>YEAR(Tabela2[[#This Row],[Data]])</f>
        <v>2023</v>
      </c>
      <c r="D119" t="s">
        <v>23</v>
      </c>
      <c r="E119" t="s">
        <v>15</v>
      </c>
      <c r="F119" t="s">
        <v>16</v>
      </c>
      <c r="G119" t="s">
        <v>25</v>
      </c>
      <c r="H119">
        <v>7</v>
      </c>
      <c r="I119" s="8">
        <v>446.42398191697458</v>
      </c>
      <c r="J119" s="8">
        <v>3124.9678734188219</v>
      </c>
      <c r="K119" s="8">
        <v>1779.9321038179739</v>
      </c>
      <c r="L119" s="8">
        <v>1345.035769600848</v>
      </c>
      <c r="M119" s="5">
        <f>Tabela2[[#This Row],[Lucro]]/Tabela2[[#This Row],[Receita]]</f>
        <v>0.43041587116520746</v>
      </c>
    </row>
    <row r="120" spans="1:13" x14ac:dyDescent="0.3">
      <c r="A120" s="1">
        <v>45078</v>
      </c>
      <c r="B120" t="str">
        <f>TEXT(Tabela2[[#This Row],[Data]],"mmm")</f>
        <v>jun</v>
      </c>
      <c r="C120">
        <f>YEAR(Tabela2[[#This Row],[Data]])</f>
        <v>2023</v>
      </c>
      <c r="D120" t="s">
        <v>14</v>
      </c>
      <c r="E120" t="s">
        <v>15</v>
      </c>
      <c r="F120" t="s">
        <v>21</v>
      </c>
      <c r="G120" t="s">
        <v>25</v>
      </c>
      <c r="H120">
        <v>1</v>
      </c>
      <c r="I120" s="8">
        <v>70.615952745005615</v>
      </c>
      <c r="J120" s="8">
        <v>70.615952745005615</v>
      </c>
      <c r="K120" s="8">
        <v>40.687120033987682</v>
      </c>
      <c r="L120" s="8">
        <v>29.92883271101794</v>
      </c>
      <c r="M120" s="5">
        <f>Tabela2[[#This Row],[Lucro]]/Tabela2[[#This Row],[Receita]]</f>
        <v>0.42382537581969659</v>
      </c>
    </row>
    <row r="121" spans="1:13" x14ac:dyDescent="0.3">
      <c r="A121" s="1">
        <v>45079</v>
      </c>
      <c r="B121" t="str">
        <f>TEXT(Tabela2[[#This Row],[Data]],"mmm")</f>
        <v>jun</v>
      </c>
      <c r="C121">
        <f>YEAR(Tabela2[[#This Row],[Data]])</f>
        <v>2023</v>
      </c>
      <c r="D121" t="s">
        <v>18</v>
      </c>
      <c r="E121" t="s">
        <v>15</v>
      </c>
      <c r="F121" t="s">
        <v>19</v>
      </c>
      <c r="G121" t="s">
        <v>17</v>
      </c>
      <c r="H121">
        <v>6</v>
      </c>
      <c r="I121" s="8">
        <v>126.7707914536697</v>
      </c>
      <c r="J121" s="8">
        <v>760.62474872201801</v>
      </c>
      <c r="K121" s="8">
        <v>585.68531035126307</v>
      </c>
      <c r="L121" s="8">
        <v>174.93943837075491</v>
      </c>
      <c r="M121" s="5">
        <f>Tabela2[[#This Row],[Lucro]]/Tabela2[[#This Row],[Receita]]</f>
        <v>0.22999440744556843</v>
      </c>
    </row>
    <row r="122" spans="1:13" x14ac:dyDescent="0.3">
      <c r="A122" s="1">
        <v>45080</v>
      </c>
      <c r="B122" t="str">
        <f>TEXT(Tabela2[[#This Row],[Data]],"mmm")</f>
        <v>jun</v>
      </c>
      <c r="C122">
        <f>YEAR(Tabela2[[#This Row],[Data]])</f>
        <v>2023</v>
      </c>
      <c r="D122" t="s">
        <v>14</v>
      </c>
      <c r="E122" t="s">
        <v>15</v>
      </c>
      <c r="F122" t="s">
        <v>16</v>
      </c>
      <c r="G122" t="s">
        <v>13</v>
      </c>
      <c r="H122">
        <v>7</v>
      </c>
      <c r="I122" s="8">
        <v>419.10840485021959</v>
      </c>
      <c r="J122" s="8">
        <v>2933.7588339515369</v>
      </c>
      <c r="K122" s="8">
        <v>1935.2072083943269</v>
      </c>
      <c r="L122" s="8">
        <v>998.55162555721017</v>
      </c>
      <c r="M122" s="5">
        <f>Tabela2[[#This Row],[Lucro]]/Tabela2[[#This Row],[Receita]]</f>
        <v>0.34036595442040529</v>
      </c>
    </row>
    <row r="123" spans="1:13" x14ac:dyDescent="0.3">
      <c r="A123" s="1">
        <v>45081</v>
      </c>
      <c r="B123" t="str">
        <f>TEXT(Tabela2[[#This Row],[Data]],"mmm")</f>
        <v>jun</v>
      </c>
      <c r="C123">
        <f>YEAR(Tabela2[[#This Row],[Data]])</f>
        <v>2023</v>
      </c>
      <c r="D123" t="s">
        <v>23</v>
      </c>
      <c r="E123" t="s">
        <v>15</v>
      </c>
      <c r="F123" t="s">
        <v>24</v>
      </c>
      <c r="G123" t="s">
        <v>17</v>
      </c>
      <c r="H123">
        <v>3</v>
      </c>
      <c r="I123" s="8">
        <v>51.877520687853512</v>
      </c>
      <c r="J123" s="8">
        <v>155.6325620635605</v>
      </c>
      <c r="K123" s="8">
        <v>85.70382003826731</v>
      </c>
      <c r="L123" s="8">
        <v>69.928742025293218</v>
      </c>
      <c r="M123" s="5">
        <f>Tabela2[[#This Row],[Lucro]]/Tabela2[[#This Row],[Receita]]</f>
        <v>0.44931948107835074</v>
      </c>
    </row>
    <row r="124" spans="1:13" x14ac:dyDescent="0.3">
      <c r="A124" s="1">
        <v>45083</v>
      </c>
      <c r="B124" t="str">
        <f>TEXT(Tabela2[[#This Row],[Data]],"mmm")</f>
        <v>jun</v>
      </c>
      <c r="C124">
        <f>YEAR(Tabela2[[#This Row],[Data]])</f>
        <v>2023</v>
      </c>
      <c r="D124" t="s">
        <v>14</v>
      </c>
      <c r="E124" t="s">
        <v>15</v>
      </c>
      <c r="F124" t="s">
        <v>19</v>
      </c>
      <c r="G124" t="s">
        <v>20</v>
      </c>
      <c r="H124">
        <v>4</v>
      </c>
      <c r="I124" s="8">
        <v>530.51874713928555</v>
      </c>
      <c r="J124" s="8">
        <v>2122.0749885571422</v>
      </c>
      <c r="K124" s="8">
        <v>1235.000656566928</v>
      </c>
      <c r="L124" s="8">
        <v>887.07433199021466</v>
      </c>
      <c r="M124" s="5">
        <f>Tabela2[[#This Row],[Lucro]]/Tabela2[[#This Row],[Receita]]</f>
        <v>0.41802214190053727</v>
      </c>
    </row>
    <row r="125" spans="1:13" x14ac:dyDescent="0.3">
      <c r="A125" s="1">
        <v>45084</v>
      </c>
      <c r="B125" t="str">
        <f>TEXT(Tabela2[[#This Row],[Data]],"mmm")</f>
        <v>jun</v>
      </c>
      <c r="C125">
        <f>YEAR(Tabela2[[#This Row],[Data]])</f>
        <v>2023</v>
      </c>
      <c r="D125" t="s">
        <v>23</v>
      </c>
      <c r="E125" t="s">
        <v>15</v>
      </c>
      <c r="F125" t="s">
        <v>12</v>
      </c>
      <c r="G125" t="s">
        <v>13</v>
      </c>
      <c r="H125">
        <v>9</v>
      </c>
      <c r="I125" s="8">
        <v>763.39604067868345</v>
      </c>
      <c r="J125" s="8">
        <v>6870.5643661081513</v>
      </c>
      <c r="K125" s="8">
        <v>4117.014560258669</v>
      </c>
      <c r="L125" s="8">
        <v>2753.5498058494818</v>
      </c>
      <c r="M125" s="5">
        <f>Tabela2[[#This Row],[Lucro]]/Tabela2[[#This Row],[Receita]]</f>
        <v>0.4007749085988459</v>
      </c>
    </row>
    <row r="126" spans="1:13" x14ac:dyDescent="0.3">
      <c r="A126" s="1">
        <v>45084</v>
      </c>
      <c r="B126" t="str">
        <f>TEXT(Tabela2[[#This Row],[Data]],"mmm")</f>
        <v>jun</v>
      </c>
      <c r="C126">
        <f>YEAR(Tabela2[[#This Row],[Data]])</f>
        <v>2023</v>
      </c>
      <c r="D126" t="s">
        <v>18</v>
      </c>
      <c r="E126" t="s">
        <v>15</v>
      </c>
      <c r="F126" t="s">
        <v>24</v>
      </c>
      <c r="G126" t="s">
        <v>22</v>
      </c>
      <c r="H126">
        <v>4</v>
      </c>
      <c r="I126" s="8">
        <v>662.07573216461503</v>
      </c>
      <c r="J126" s="8">
        <v>2648.3029286584601</v>
      </c>
      <c r="K126" s="8">
        <v>1739.257885259437</v>
      </c>
      <c r="L126" s="8">
        <v>909.04504339902337</v>
      </c>
      <c r="M126" s="5">
        <f>Tabela2[[#This Row],[Lucro]]/Tabela2[[#This Row],[Receita]]</f>
        <v>0.34325568784516453</v>
      </c>
    </row>
    <row r="127" spans="1:13" x14ac:dyDescent="0.3">
      <c r="A127" s="1">
        <v>45086</v>
      </c>
      <c r="B127" t="str">
        <f>TEXT(Tabela2[[#This Row],[Data]],"mmm")</f>
        <v>jun</v>
      </c>
      <c r="C127">
        <f>YEAR(Tabela2[[#This Row],[Data]])</f>
        <v>2023</v>
      </c>
      <c r="D127" t="s">
        <v>14</v>
      </c>
      <c r="E127" t="s">
        <v>15</v>
      </c>
      <c r="F127" t="s">
        <v>12</v>
      </c>
      <c r="G127" t="s">
        <v>20</v>
      </c>
      <c r="H127">
        <v>4</v>
      </c>
      <c r="I127" s="8">
        <v>453.82175333101043</v>
      </c>
      <c r="J127" s="8">
        <v>1815.2870133240419</v>
      </c>
      <c r="K127" s="8">
        <v>1319.6968511900579</v>
      </c>
      <c r="L127" s="8">
        <v>495.59016213398382</v>
      </c>
      <c r="M127" s="5">
        <f>Tabela2[[#This Row],[Lucro]]/Tabela2[[#This Row],[Receita]]</f>
        <v>0.27300925886451949</v>
      </c>
    </row>
    <row r="128" spans="1:13" x14ac:dyDescent="0.3">
      <c r="A128" s="1">
        <v>45086</v>
      </c>
      <c r="B128" t="str">
        <f>TEXT(Tabela2[[#This Row],[Data]],"mmm")</f>
        <v>jun</v>
      </c>
      <c r="C128">
        <f>YEAR(Tabela2[[#This Row],[Data]])</f>
        <v>2023</v>
      </c>
      <c r="D128" t="s">
        <v>23</v>
      </c>
      <c r="E128" t="s">
        <v>15</v>
      </c>
      <c r="F128" t="s">
        <v>16</v>
      </c>
      <c r="G128" t="s">
        <v>20</v>
      </c>
      <c r="H128">
        <v>7</v>
      </c>
      <c r="I128" s="8">
        <v>138.5793854403455</v>
      </c>
      <c r="J128" s="8">
        <v>970.05569808241853</v>
      </c>
      <c r="K128" s="8">
        <v>502.88161564738982</v>
      </c>
      <c r="L128" s="8">
        <v>467.17408243502871</v>
      </c>
      <c r="M128" s="5">
        <f>Tabela2[[#This Row],[Lucro]]/Tabela2[[#This Row],[Receita]]</f>
        <v>0.4815951118667996</v>
      </c>
    </row>
    <row r="129" spans="1:13" x14ac:dyDescent="0.3">
      <c r="A129" s="1">
        <v>45086</v>
      </c>
      <c r="B129" t="str">
        <f>TEXT(Tabela2[[#This Row],[Data]],"mmm")</f>
        <v>jun</v>
      </c>
      <c r="C129">
        <f>YEAR(Tabela2[[#This Row],[Data]])</f>
        <v>2023</v>
      </c>
      <c r="D129" t="s">
        <v>10</v>
      </c>
      <c r="E129" t="s">
        <v>11</v>
      </c>
      <c r="F129" t="s">
        <v>21</v>
      </c>
      <c r="G129" t="s">
        <v>13</v>
      </c>
      <c r="H129">
        <v>1</v>
      </c>
      <c r="I129" s="8">
        <v>447.40840139948051</v>
      </c>
      <c r="J129" s="8">
        <v>447.40840139948051</v>
      </c>
      <c r="K129" s="8">
        <v>284.69187176602901</v>
      </c>
      <c r="L129" s="8">
        <v>162.7165296334515</v>
      </c>
      <c r="M129" s="5">
        <f>Tabela2[[#This Row],[Lucro]]/Tabela2[[#This Row],[Receita]]</f>
        <v>0.36368679963201161</v>
      </c>
    </row>
    <row r="130" spans="1:13" x14ac:dyDescent="0.3">
      <c r="A130" s="1">
        <v>45087</v>
      </c>
      <c r="B130" t="str">
        <f>TEXT(Tabela2[[#This Row],[Data]],"mmm")</f>
        <v>jun</v>
      </c>
      <c r="C130">
        <f>YEAR(Tabela2[[#This Row],[Data]])</f>
        <v>2023</v>
      </c>
      <c r="D130" t="s">
        <v>14</v>
      </c>
      <c r="E130" t="s">
        <v>15</v>
      </c>
      <c r="F130" t="s">
        <v>24</v>
      </c>
      <c r="G130" t="s">
        <v>22</v>
      </c>
      <c r="H130">
        <v>6</v>
      </c>
      <c r="I130" s="8">
        <v>562.90324140647897</v>
      </c>
      <c r="J130" s="8">
        <v>3377.419448438874</v>
      </c>
      <c r="K130" s="8">
        <v>2266.3104290173301</v>
      </c>
      <c r="L130" s="8">
        <v>1111.109019421544</v>
      </c>
      <c r="M130" s="5">
        <f>Tabela2[[#This Row],[Lucro]]/Tabela2[[#This Row],[Receita]]</f>
        <v>0.32898164897319038</v>
      </c>
    </row>
    <row r="131" spans="1:13" x14ac:dyDescent="0.3">
      <c r="A131" s="1">
        <v>45088</v>
      </c>
      <c r="B131" t="str">
        <f>TEXT(Tabela2[[#This Row],[Data]],"mmm")</f>
        <v>jun</v>
      </c>
      <c r="C131">
        <f>YEAR(Tabela2[[#This Row],[Data]])</f>
        <v>2023</v>
      </c>
      <c r="D131" t="s">
        <v>10</v>
      </c>
      <c r="E131" t="s">
        <v>11</v>
      </c>
      <c r="F131" t="s">
        <v>21</v>
      </c>
      <c r="G131" t="s">
        <v>25</v>
      </c>
      <c r="H131">
        <v>2</v>
      </c>
      <c r="I131" s="8">
        <v>696.25513280898838</v>
      </c>
      <c r="J131" s="8">
        <v>1392.510265617977</v>
      </c>
      <c r="K131" s="8">
        <v>866.69191221154324</v>
      </c>
      <c r="L131" s="8">
        <v>525.81835340643352</v>
      </c>
      <c r="M131" s="5">
        <f>Tabela2[[#This Row],[Lucro]]/Tabela2[[#This Row],[Receita]]</f>
        <v>0.3776046513905465</v>
      </c>
    </row>
    <row r="132" spans="1:13" x14ac:dyDescent="0.3">
      <c r="A132" s="1">
        <v>45089</v>
      </c>
      <c r="B132" t="str">
        <f>TEXT(Tabela2[[#This Row],[Data]],"mmm")</f>
        <v>jun</v>
      </c>
      <c r="C132">
        <f>YEAR(Tabela2[[#This Row],[Data]])</f>
        <v>2023</v>
      </c>
      <c r="D132" t="s">
        <v>23</v>
      </c>
      <c r="E132" t="s">
        <v>15</v>
      </c>
      <c r="F132" t="s">
        <v>16</v>
      </c>
      <c r="G132" t="s">
        <v>13</v>
      </c>
      <c r="H132">
        <v>2</v>
      </c>
      <c r="I132" s="8">
        <v>775.54851629982522</v>
      </c>
      <c r="J132" s="8">
        <v>1551.09703259965</v>
      </c>
      <c r="K132" s="8">
        <v>1095.7089084364279</v>
      </c>
      <c r="L132" s="8">
        <v>455.38812416322207</v>
      </c>
      <c r="M132" s="5">
        <f>Tabela2[[#This Row],[Lucro]]/Tabela2[[#This Row],[Receita]]</f>
        <v>0.29359099694748836</v>
      </c>
    </row>
    <row r="133" spans="1:13" x14ac:dyDescent="0.3">
      <c r="A133" s="1">
        <v>45090</v>
      </c>
      <c r="B133" t="str">
        <f>TEXT(Tabela2[[#This Row],[Data]],"mmm")</f>
        <v>jun</v>
      </c>
      <c r="C133">
        <f>YEAR(Tabela2[[#This Row],[Data]])</f>
        <v>2023</v>
      </c>
      <c r="D133" t="s">
        <v>26</v>
      </c>
      <c r="E133" t="s">
        <v>11</v>
      </c>
      <c r="F133" t="s">
        <v>16</v>
      </c>
      <c r="G133" t="s">
        <v>13</v>
      </c>
      <c r="H133">
        <v>6</v>
      </c>
      <c r="I133" s="8">
        <v>2406.4494908855431</v>
      </c>
      <c r="J133" s="8">
        <v>14438.696945313261</v>
      </c>
      <c r="K133" s="8">
        <v>10094.112521060881</v>
      </c>
      <c r="L133" s="8">
        <v>4344.5844242523817</v>
      </c>
      <c r="M133" s="5">
        <f>Tabela2[[#This Row],[Lucro]]/Tabela2[[#This Row],[Receita]]</f>
        <v>0.3008986503912055</v>
      </c>
    </row>
    <row r="134" spans="1:13" x14ac:dyDescent="0.3">
      <c r="A134" s="1">
        <v>45090</v>
      </c>
      <c r="B134" t="str">
        <f>TEXT(Tabela2[[#This Row],[Data]],"mmm")</f>
        <v>jun</v>
      </c>
      <c r="C134">
        <f>YEAR(Tabela2[[#This Row],[Data]])</f>
        <v>2023</v>
      </c>
      <c r="D134" t="s">
        <v>23</v>
      </c>
      <c r="E134" t="s">
        <v>15</v>
      </c>
      <c r="F134" t="s">
        <v>16</v>
      </c>
      <c r="G134" t="s">
        <v>20</v>
      </c>
      <c r="H134">
        <v>3</v>
      </c>
      <c r="I134" s="8">
        <v>364.77901155062892</v>
      </c>
      <c r="J134" s="8">
        <v>1094.3370346518871</v>
      </c>
      <c r="K134" s="8">
        <v>655.7998626133699</v>
      </c>
      <c r="L134" s="8">
        <v>438.5371720385167</v>
      </c>
      <c r="M134" s="5">
        <f>Tabela2[[#This Row],[Lucro]]/Tabela2[[#This Row],[Receita]]</f>
        <v>0.40073319110324829</v>
      </c>
    </row>
    <row r="135" spans="1:13" x14ac:dyDescent="0.3">
      <c r="A135" s="1">
        <v>45092</v>
      </c>
      <c r="B135" t="str">
        <f>TEXT(Tabela2[[#This Row],[Data]],"mmm")</f>
        <v>jun</v>
      </c>
      <c r="C135">
        <f>YEAR(Tabela2[[#This Row],[Data]])</f>
        <v>2023</v>
      </c>
      <c r="D135" t="s">
        <v>26</v>
      </c>
      <c r="E135" t="s">
        <v>11</v>
      </c>
      <c r="F135" t="s">
        <v>19</v>
      </c>
      <c r="G135" t="s">
        <v>20</v>
      </c>
      <c r="H135">
        <v>3</v>
      </c>
      <c r="I135" s="8">
        <v>3503.3272638926442</v>
      </c>
      <c r="J135" s="8">
        <v>10509.98179167793</v>
      </c>
      <c r="K135" s="8">
        <v>7766.2620538143183</v>
      </c>
      <c r="L135" s="8">
        <v>2743.7197378636138</v>
      </c>
      <c r="M135" s="5">
        <f>Tabela2[[#This Row],[Lucro]]/Tabela2[[#This Row],[Receita]]</f>
        <v>0.26105846729783688</v>
      </c>
    </row>
    <row r="136" spans="1:13" x14ac:dyDescent="0.3">
      <c r="A136" s="1">
        <v>45099</v>
      </c>
      <c r="B136" t="str">
        <f>TEXT(Tabela2[[#This Row],[Data]],"mmm")</f>
        <v>jun</v>
      </c>
      <c r="C136">
        <f>YEAR(Tabela2[[#This Row],[Data]])</f>
        <v>2023</v>
      </c>
      <c r="D136" t="s">
        <v>10</v>
      </c>
      <c r="E136" t="s">
        <v>11</v>
      </c>
      <c r="F136" t="s">
        <v>12</v>
      </c>
      <c r="G136" t="s">
        <v>20</v>
      </c>
      <c r="H136">
        <v>6</v>
      </c>
      <c r="I136" s="8">
        <v>574.54293349266368</v>
      </c>
      <c r="J136" s="8">
        <v>3447.2576009559821</v>
      </c>
      <c r="K136" s="8">
        <v>1929.9543319911099</v>
      </c>
      <c r="L136" s="8">
        <v>1517.3032689648719</v>
      </c>
      <c r="M136" s="5">
        <f>Tabela2[[#This Row],[Lucro]]/Tabela2[[#This Row],[Receita]]</f>
        <v>0.44014792179850393</v>
      </c>
    </row>
    <row r="137" spans="1:13" x14ac:dyDescent="0.3">
      <c r="A137" s="1">
        <v>45099</v>
      </c>
      <c r="B137" t="str">
        <f>TEXT(Tabela2[[#This Row],[Data]],"mmm")</f>
        <v>jun</v>
      </c>
      <c r="C137">
        <f>YEAR(Tabela2[[#This Row],[Data]])</f>
        <v>2023</v>
      </c>
      <c r="D137" t="s">
        <v>18</v>
      </c>
      <c r="E137" t="s">
        <v>15</v>
      </c>
      <c r="F137" t="s">
        <v>16</v>
      </c>
      <c r="G137" t="s">
        <v>17</v>
      </c>
      <c r="H137">
        <v>7</v>
      </c>
      <c r="I137" s="8">
        <v>517.62846051877216</v>
      </c>
      <c r="J137" s="8">
        <v>3623.3992236314052</v>
      </c>
      <c r="K137" s="8">
        <v>2371.7052054821288</v>
      </c>
      <c r="L137" s="8">
        <v>1251.694018149276</v>
      </c>
      <c r="M137" s="5">
        <f>Tabela2[[#This Row],[Lucro]]/Tabela2[[#This Row],[Receita]]</f>
        <v>0.34544744889988033</v>
      </c>
    </row>
    <row r="138" spans="1:13" x14ac:dyDescent="0.3">
      <c r="A138" s="1">
        <v>45101</v>
      </c>
      <c r="B138" t="str">
        <f>TEXT(Tabela2[[#This Row],[Data]],"mmm")</f>
        <v>jun</v>
      </c>
      <c r="C138">
        <f>YEAR(Tabela2[[#This Row],[Data]])</f>
        <v>2023</v>
      </c>
      <c r="D138" t="s">
        <v>18</v>
      </c>
      <c r="E138" t="s">
        <v>15</v>
      </c>
      <c r="F138" t="s">
        <v>24</v>
      </c>
      <c r="G138" t="s">
        <v>25</v>
      </c>
      <c r="H138">
        <v>1</v>
      </c>
      <c r="I138" s="8">
        <v>332.59518748275428</v>
      </c>
      <c r="J138" s="8">
        <v>332.59518748275428</v>
      </c>
      <c r="K138" s="8">
        <v>222.13769801568739</v>
      </c>
      <c r="L138" s="8">
        <v>110.45748946706691</v>
      </c>
      <c r="M138" s="5">
        <f>Tabela2[[#This Row],[Lucro]]/Tabela2[[#This Row],[Receita]]</f>
        <v>0.33210790060753465</v>
      </c>
    </row>
    <row r="139" spans="1:13" x14ac:dyDescent="0.3">
      <c r="A139" s="1">
        <v>45103</v>
      </c>
      <c r="B139" t="str">
        <f>TEXT(Tabela2[[#This Row],[Data]],"mmm")</f>
        <v>jun</v>
      </c>
      <c r="C139">
        <f>YEAR(Tabela2[[#This Row],[Data]])</f>
        <v>2023</v>
      </c>
      <c r="D139" t="s">
        <v>10</v>
      </c>
      <c r="E139" t="s">
        <v>11</v>
      </c>
      <c r="F139" t="s">
        <v>19</v>
      </c>
      <c r="G139" t="s">
        <v>17</v>
      </c>
      <c r="H139">
        <v>9</v>
      </c>
      <c r="I139" s="8">
        <v>680.77165239456008</v>
      </c>
      <c r="J139" s="8">
        <v>6126.9448715510407</v>
      </c>
      <c r="K139" s="8">
        <v>3715.8177967532438</v>
      </c>
      <c r="L139" s="8">
        <v>2411.1270747977969</v>
      </c>
      <c r="M139" s="5">
        <f>Tabela2[[#This Row],[Lucro]]/Tabela2[[#This Row],[Receita]]</f>
        <v>0.39352844286118382</v>
      </c>
    </row>
    <row r="140" spans="1:13" x14ac:dyDescent="0.3">
      <c r="A140" s="1">
        <v>45104</v>
      </c>
      <c r="B140" t="str">
        <f>TEXT(Tabela2[[#This Row],[Data]],"mmm")</f>
        <v>jun</v>
      </c>
      <c r="C140">
        <f>YEAR(Tabela2[[#This Row],[Data]])</f>
        <v>2023</v>
      </c>
      <c r="D140" t="s">
        <v>23</v>
      </c>
      <c r="E140" t="s">
        <v>15</v>
      </c>
      <c r="F140" t="s">
        <v>19</v>
      </c>
      <c r="G140" t="s">
        <v>17</v>
      </c>
      <c r="H140">
        <v>3</v>
      </c>
      <c r="I140" s="8">
        <v>306.85229368428588</v>
      </c>
      <c r="J140" s="8">
        <v>920.55688105285765</v>
      </c>
      <c r="K140" s="8">
        <v>574.64743852819504</v>
      </c>
      <c r="L140" s="8">
        <v>345.90944252466261</v>
      </c>
      <c r="M140" s="5">
        <f>Tabela2[[#This Row],[Lucro]]/Tabela2[[#This Row],[Receita]]</f>
        <v>0.37576107424132194</v>
      </c>
    </row>
    <row r="141" spans="1:13" x14ac:dyDescent="0.3">
      <c r="A141" s="1">
        <v>45104</v>
      </c>
      <c r="B141" t="str">
        <f>TEXT(Tabela2[[#This Row],[Data]],"mmm")</f>
        <v>jun</v>
      </c>
      <c r="C141">
        <f>YEAR(Tabela2[[#This Row],[Data]])</f>
        <v>2023</v>
      </c>
      <c r="D141" t="s">
        <v>18</v>
      </c>
      <c r="E141" t="s">
        <v>15</v>
      </c>
      <c r="F141" t="s">
        <v>21</v>
      </c>
      <c r="G141" t="s">
        <v>13</v>
      </c>
      <c r="H141">
        <v>3</v>
      </c>
      <c r="I141" s="8">
        <v>195.0636460325953</v>
      </c>
      <c r="J141" s="8">
        <v>585.19093809778599</v>
      </c>
      <c r="K141" s="8">
        <v>331.88828104315093</v>
      </c>
      <c r="L141" s="8">
        <v>253.30265705463509</v>
      </c>
      <c r="M141" s="5">
        <f>Tabela2[[#This Row],[Lucro]]/Tabela2[[#This Row],[Receita]]</f>
        <v>0.43285471555321309</v>
      </c>
    </row>
    <row r="142" spans="1:13" x14ac:dyDescent="0.3">
      <c r="A142" s="1">
        <v>45106</v>
      </c>
      <c r="B142" t="str">
        <f>TEXT(Tabela2[[#This Row],[Data]],"mmm")</f>
        <v>jun</v>
      </c>
      <c r="C142">
        <f>YEAR(Tabela2[[#This Row],[Data]])</f>
        <v>2023</v>
      </c>
      <c r="D142" t="s">
        <v>18</v>
      </c>
      <c r="E142" t="s">
        <v>15</v>
      </c>
      <c r="F142" t="s">
        <v>16</v>
      </c>
      <c r="G142" t="s">
        <v>25</v>
      </c>
      <c r="H142">
        <v>5</v>
      </c>
      <c r="I142" s="8">
        <v>427.34974284274739</v>
      </c>
      <c r="J142" s="8">
        <v>2136.748714213737</v>
      </c>
      <c r="K142" s="8">
        <v>1561.959177467766</v>
      </c>
      <c r="L142" s="8">
        <v>574.78953674597142</v>
      </c>
      <c r="M142" s="5">
        <f>Tabela2[[#This Row],[Lucro]]/Tabela2[[#This Row],[Receita]]</f>
        <v>0.26900193407041673</v>
      </c>
    </row>
    <row r="143" spans="1:13" x14ac:dyDescent="0.3">
      <c r="A143" s="1">
        <v>45106</v>
      </c>
      <c r="B143" t="str">
        <f>TEXT(Tabela2[[#This Row],[Data]],"mmm")</f>
        <v>jun</v>
      </c>
      <c r="C143">
        <f>YEAR(Tabela2[[#This Row],[Data]])</f>
        <v>2023</v>
      </c>
      <c r="D143" t="s">
        <v>23</v>
      </c>
      <c r="E143" t="s">
        <v>15</v>
      </c>
      <c r="F143" t="s">
        <v>21</v>
      </c>
      <c r="G143" t="s">
        <v>22</v>
      </c>
      <c r="H143">
        <v>6</v>
      </c>
      <c r="I143" s="8">
        <v>191.67582698325569</v>
      </c>
      <c r="J143" s="8">
        <v>1150.054961899534</v>
      </c>
      <c r="K143" s="8">
        <v>648.40585834946069</v>
      </c>
      <c r="L143" s="8">
        <v>501.64910355007351</v>
      </c>
      <c r="M143" s="5">
        <f>Tabela2[[#This Row],[Lucro]]/Tabela2[[#This Row],[Receita]]</f>
        <v>0.43619576469763222</v>
      </c>
    </row>
    <row r="144" spans="1:13" x14ac:dyDescent="0.3">
      <c r="A144" s="1">
        <v>45107</v>
      </c>
      <c r="B144" t="str">
        <f>TEXT(Tabela2[[#This Row],[Data]],"mmm")</f>
        <v>jun</v>
      </c>
      <c r="C144">
        <f>YEAR(Tabela2[[#This Row],[Data]])</f>
        <v>2023</v>
      </c>
      <c r="D144" t="s">
        <v>10</v>
      </c>
      <c r="E144" t="s">
        <v>11</v>
      </c>
      <c r="F144" t="s">
        <v>24</v>
      </c>
      <c r="G144" t="s">
        <v>13</v>
      </c>
      <c r="H144">
        <v>4</v>
      </c>
      <c r="I144" s="8">
        <v>641.29908696141752</v>
      </c>
      <c r="J144" s="8">
        <v>2565.1963478456701</v>
      </c>
      <c r="K144" s="8">
        <v>1653.157987174651</v>
      </c>
      <c r="L144" s="8">
        <v>912.03836067101906</v>
      </c>
      <c r="M144" s="5">
        <f>Tabela2[[#This Row],[Lucro]]/Tabela2[[#This Row],[Receita]]</f>
        <v>0.3555432945462349</v>
      </c>
    </row>
    <row r="145" spans="1:13" x14ac:dyDescent="0.3">
      <c r="A145" s="1">
        <v>45108</v>
      </c>
      <c r="B145" t="str">
        <f>TEXT(Tabela2[[#This Row],[Data]],"mmm")</f>
        <v>jul</v>
      </c>
      <c r="C145">
        <f>YEAR(Tabela2[[#This Row],[Data]])</f>
        <v>2023</v>
      </c>
      <c r="D145" t="s">
        <v>26</v>
      </c>
      <c r="E145" t="s">
        <v>11</v>
      </c>
      <c r="F145" t="s">
        <v>21</v>
      </c>
      <c r="G145" t="s">
        <v>13</v>
      </c>
      <c r="H145">
        <v>8</v>
      </c>
      <c r="I145" s="8">
        <v>3059.07724928158</v>
      </c>
      <c r="J145" s="8">
        <v>24472.61799425264</v>
      </c>
      <c r="K145" s="8">
        <v>15021.09003501615</v>
      </c>
      <c r="L145" s="8">
        <v>9451.5279592364968</v>
      </c>
      <c r="M145" s="5">
        <f>Tabela2[[#This Row],[Lucro]]/Tabela2[[#This Row],[Receita]]</f>
        <v>0.38620829048433541</v>
      </c>
    </row>
    <row r="146" spans="1:13" x14ac:dyDescent="0.3">
      <c r="A146" s="1">
        <v>45109</v>
      </c>
      <c r="B146" t="str">
        <f>TEXT(Tabela2[[#This Row],[Data]],"mmm")</f>
        <v>jul</v>
      </c>
      <c r="C146">
        <f>YEAR(Tabela2[[#This Row],[Data]])</f>
        <v>2023</v>
      </c>
      <c r="D146" t="s">
        <v>10</v>
      </c>
      <c r="E146" t="s">
        <v>11</v>
      </c>
      <c r="F146" t="s">
        <v>21</v>
      </c>
      <c r="G146" t="s">
        <v>25</v>
      </c>
      <c r="H146">
        <v>6</v>
      </c>
      <c r="I146" s="8">
        <v>268.62695228701449</v>
      </c>
      <c r="J146" s="8">
        <v>1611.7617137220871</v>
      </c>
      <c r="K146" s="8">
        <v>1108.517184108041</v>
      </c>
      <c r="L146" s="8">
        <v>503.24452961404648</v>
      </c>
      <c r="M146" s="5">
        <f>Tabela2[[#This Row],[Lucro]]/Tabela2[[#This Row],[Receita]]</f>
        <v>0.31223258706889717</v>
      </c>
    </row>
    <row r="147" spans="1:13" x14ac:dyDescent="0.3">
      <c r="A147" s="1">
        <v>45114</v>
      </c>
      <c r="B147" t="str">
        <f>TEXT(Tabela2[[#This Row],[Data]],"mmm")</f>
        <v>jul</v>
      </c>
      <c r="C147">
        <f>YEAR(Tabela2[[#This Row],[Data]])</f>
        <v>2023</v>
      </c>
      <c r="D147" t="s">
        <v>23</v>
      </c>
      <c r="E147" t="s">
        <v>15</v>
      </c>
      <c r="F147" t="s">
        <v>16</v>
      </c>
      <c r="G147" t="s">
        <v>17</v>
      </c>
      <c r="H147">
        <v>9</v>
      </c>
      <c r="I147" s="8">
        <v>42.812880766956127</v>
      </c>
      <c r="J147" s="8">
        <v>385.31592690260521</v>
      </c>
      <c r="K147" s="8">
        <v>288.11806745997029</v>
      </c>
      <c r="L147" s="8">
        <v>97.197859442634865</v>
      </c>
      <c r="M147" s="5">
        <f>Tabela2[[#This Row],[Lucro]]/Tabela2[[#This Row],[Receita]]</f>
        <v>0.25225497483057113</v>
      </c>
    </row>
    <row r="148" spans="1:13" x14ac:dyDescent="0.3">
      <c r="A148" s="1">
        <v>45116</v>
      </c>
      <c r="B148" t="str">
        <f>TEXT(Tabela2[[#This Row],[Data]],"mmm")</f>
        <v>jul</v>
      </c>
      <c r="C148">
        <f>YEAR(Tabela2[[#This Row],[Data]])</f>
        <v>2023</v>
      </c>
      <c r="D148" t="s">
        <v>18</v>
      </c>
      <c r="E148" t="s">
        <v>15</v>
      </c>
      <c r="F148" t="s">
        <v>24</v>
      </c>
      <c r="G148" t="s">
        <v>25</v>
      </c>
      <c r="H148">
        <v>6</v>
      </c>
      <c r="I148" s="8">
        <v>595.66622081256889</v>
      </c>
      <c r="J148" s="8">
        <v>3573.9973248754131</v>
      </c>
      <c r="K148" s="8">
        <v>1875.775327738002</v>
      </c>
      <c r="L148" s="8">
        <v>1698.221997137412</v>
      </c>
      <c r="M148" s="5">
        <f>Tabela2[[#This Row],[Lucro]]/Tabela2[[#This Row],[Receita]]</f>
        <v>0.47516039962246215</v>
      </c>
    </row>
    <row r="149" spans="1:13" x14ac:dyDescent="0.3">
      <c r="A149" s="1">
        <v>45119</v>
      </c>
      <c r="B149" t="str">
        <f>TEXT(Tabela2[[#This Row],[Data]],"mmm")</f>
        <v>jul</v>
      </c>
      <c r="C149">
        <f>YEAR(Tabela2[[#This Row],[Data]])</f>
        <v>2023</v>
      </c>
      <c r="D149" t="s">
        <v>18</v>
      </c>
      <c r="E149" t="s">
        <v>15</v>
      </c>
      <c r="F149" t="s">
        <v>16</v>
      </c>
      <c r="G149" t="s">
        <v>20</v>
      </c>
      <c r="H149">
        <v>2</v>
      </c>
      <c r="I149" s="8">
        <v>792.31573074550465</v>
      </c>
      <c r="J149" s="8">
        <v>1584.6314614910091</v>
      </c>
      <c r="K149" s="8">
        <v>1113.703833650547</v>
      </c>
      <c r="L149" s="8">
        <v>470.92762784046198</v>
      </c>
      <c r="M149" s="5">
        <f>Tabela2[[#This Row],[Lucro]]/Tabela2[[#This Row],[Receita]]</f>
        <v>0.29718432284397373</v>
      </c>
    </row>
    <row r="150" spans="1:13" x14ac:dyDescent="0.3">
      <c r="A150" s="1">
        <v>45122</v>
      </c>
      <c r="B150" t="str">
        <f>TEXT(Tabela2[[#This Row],[Data]],"mmm")</f>
        <v>jul</v>
      </c>
      <c r="C150">
        <f>YEAR(Tabela2[[#This Row],[Data]])</f>
        <v>2023</v>
      </c>
      <c r="D150" t="s">
        <v>18</v>
      </c>
      <c r="E150" t="s">
        <v>15</v>
      </c>
      <c r="F150" t="s">
        <v>16</v>
      </c>
      <c r="G150" t="s">
        <v>13</v>
      </c>
      <c r="H150">
        <v>6</v>
      </c>
      <c r="I150" s="8">
        <v>461.92878249370648</v>
      </c>
      <c r="J150" s="8">
        <v>2771.572694962239</v>
      </c>
      <c r="K150" s="8">
        <v>1710.9273808775069</v>
      </c>
      <c r="L150" s="8">
        <v>1060.645314084732</v>
      </c>
      <c r="M150" s="5">
        <f>Tabela2[[#This Row],[Lucro]]/Tabela2[[#This Row],[Receita]]</f>
        <v>0.38268717108254768</v>
      </c>
    </row>
    <row r="151" spans="1:13" x14ac:dyDescent="0.3">
      <c r="A151" s="1">
        <v>45124</v>
      </c>
      <c r="B151" t="str">
        <f>TEXT(Tabela2[[#This Row],[Data]],"mmm")</f>
        <v>jul</v>
      </c>
      <c r="C151">
        <f>YEAR(Tabela2[[#This Row],[Data]])</f>
        <v>2023</v>
      </c>
      <c r="D151" t="s">
        <v>14</v>
      </c>
      <c r="E151" t="s">
        <v>15</v>
      </c>
      <c r="F151" t="s">
        <v>12</v>
      </c>
      <c r="G151" t="s">
        <v>20</v>
      </c>
      <c r="H151">
        <v>9</v>
      </c>
      <c r="I151" s="8">
        <v>599.81520185702686</v>
      </c>
      <c r="J151" s="8">
        <v>5398.3368167132421</v>
      </c>
      <c r="K151" s="8">
        <v>2804.4139664258742</v>
      </c>
      <c r="L151" s="8">
        <v>2593.922850287368</v>
      </c>
      <c r="M151" s="5">
        <f>Tabela2[[#This Row],[Lucro]]/Tabela2[[#This Row],[Receita]]</f>
        <v>0.48050407715513171</v>
      </c>
    </row>
    <row r="152" spans="1:13" x14ac:dyDescent="0.3">
      <c r="A152" s="1">
        <v>45124</v>
      </c>
      <c r="B152" t="str">
        <f>TEXT(Tabela2[[#This Row],[Data]],"mmm")</f>
        <v>jul</v>
      </c>
      <c r="C152">
        <f>YEAR(Tabela2[[#This Row],[Data]])</f>
        <v>2023</v>
      </c>
      <c r="D152" t="s">
        <v>14</v>
      </c>
      <c r="E152" t="s">
        <v>15</v>
      </c>
      <c r="F152" t="s">
        <v>16</v>
      </c>
      <c r="G152" t="s">
        <v>20</v>
      </c>
      <c r="H152">
        <v>4</v>
      </c>
      <c r="I152" s="8">
        <v>639.33964763083088</v>
      </c>
      <c r="J152" s="8">
        <v>2557.358590523324</v>
      </c>
      <c r="K152" s="8">
        <v>1754.403811998639</v>
      </c>
      <c r="L152" s="8">
        <v>802.95477852468503</v>
      </c>
      <c r="M152" s="5">
        <f>Tabela2[[#This Row],[Lucro]]/Tabela2[[#This Row],[Receita]]</f>
        <v>0.31397817322144594</v>
      </c>
    </row>
    <row r="153" spans="1:13" x14ac:dyDescent="0.3">
      <c r="A153" s="1">
        <v>45125</v>
      </c>
      <c r="B153" t="str">
        <f>TEXT(Tabela2[[#This Row],[Data]],"mmm")</f>
        <v>jul</v>
      </c>
      <c r="C153">
        <f>YEAR(Tabela2[[#This Row],[Data]])</f>
        <v>2023</v>
      </c>
      <c r="D153" t="s">
        <v>10</v>
      </c>
      <c r="E153" t="s">
        <v>11</v>
      </c>
      <c r="F153" t="s">
        <v>21</v>
      </c>
      <c r="G153" t="s">
        <v>22</v>
      </c>
      <c r="H153">
        <v>8</v>
      </c>
      <c r="I153" s="8">
        <v>321.65357011441921</v>
      </c>
      <c r="J153" s="8">
        <v>2573.2285609153528</v>
      </c>
      <c r="K153" s="8">
        <v>2009.740388722661</v>
      </c>
      <c r="L153" s="8">
        <v>563.48817219269176</v>
      </c>
      <c r="M153" s="5">
        <f>Tabela2[[#This Row],[Lucro]]/Tabela2[[#This Row],[Receita]]</f>
        <v>0.21898100337897963</v>
      </c>
    </row>
    <row r="154" spans="1:13" x14ac:dyDescent="0.3">
      <c r="A154" s="1">
        <v>45129</v>
      </c>
      <c r="B154" t="str">
        <f>TEXT(Tabela2[[#This Row],[Data]],"mmm")</f>
        <v>jul</v>
      </c>
      <c r="C154">
        <f>YEAR(Tabela2[[#This Row],[Data]])</f>
        <v>2023</v>
      </c>
      <c r="D154" t="s">
        <v>14</v>
      </c>
      <c r="E154" t="s">
        <v>15</v>
      </c>
      <c r="F154" t="s">
        <v>21</v>
      </c>
      <c r="G154" t="s">
        <v>17</v>
      </c>
      <c r="H154">
        <v>4</v>
      </c>
      <c r="I154" s="8">
        <v>787.07004989797747</v>
      </c>
      <c r="J154" s="8">
        <v>3148.2801995919099</v>
      </c>
      <c r="K154" s="8">
        <v>1950.8234283743959</v>
      </c>
      <c r="L154" s="8">
        <v>1197.456771217514</v>
      </c>
      <c r="M154" s="5">
        <f>Tabela2[[#This Row],[Lucro]]/Tabela2[[#This Row],[Receita]]</f>
        <v>0.38035266726663408</v>
      </c>
    </row>
    <row r="155" spans="1:13" x14ac:dyDescent="0.3">
      <c r="A155" s="1">
        <v>45130</v>
      </c>
      <c r="B155" t="str">
        <f>TEXT(Tabela2[[#This Row],[Data]],"mmm")</f>
        <v>jul</v>
      </c>
      <c r="C155">
        <f>YEAR(Tabela2[[#This Row],[Data]])</f>
        <v>2023</v>
      </c>
      <c r="D155" t="s">
        <v>23</v>
      </c>
      <c r="E155" t="s">
        <v>15</v>
      </c>
      <c r="F155" t="s">
        <v>21</v>
      </c>
      <c r="G155" t="s">
        <v>22</v>
      </c>
      <c r="H155">
        <v>8</v>
      </c>
      <c r="I155" s="8">
        <v>648.42271930104152</v>
      </c>
      <c r="J155" s="8">
        <v>5187.3817544083322</v>
      </c>
      <c r="K155" s="8">
        <v>3504.6278421246661</v>
      </c>
      <c r="L155" s="8">
        <v>1682.753912283667</v>
      </c>
      <c r="M155" s="5">
        <f>Tabela2[[#This Row],[Lucro]]/Tabela2[[#This Row],[Receita]]</f>
        <v>0.32439369068097446</v>
      </c>
    </row>
    <row r="156" spans="1:13" x14ac:dyDescent="0.3">
      <c r="A156" s="1">
        <v>45130</v>
      </c>
      <c r="B156" t="str">
        <f>TEXT(Tabela2[[#This Row],[Data]],"mmm")</f>
        <v>jul</v>
      </c>
      <c r="C156">
        <f>YEAR(Tabela2[[#This Row],[Data]])</f>
        <v>2023</v>
      </c>
      <c r="D156" t="s">
        <v>10</v>
      </c>
      <c r="E156" t="s">
        <v>11</v>
      </c>
      <c r="F156" t="s">
        <v>16</v>
      </c>
      <c r="G156" t="s">
        <v>13</v>
      </c>
      <c r="H156">
        <v>4</v>
      </c>
      <c r="I156" s="8">
        <v>611.44529282463759</v>
      </c>
      <c r="J156" s="8">
        <v>2445.7811712985499</v>
      </c>
      <c r="K156" s="8">
        <v>1240.930850849843</v>
      </c>
      <c r="L156" s="8">
        <v>1204.850320448707</v>
      </c>
      <c r="M156" s="5">
        <f>Tabela2[[#This Row],[Lucro]]/Tabela2[[#This Row],[Receita]]</f>
        <v>0.49262392506235958</v>
      </c>
    </row>
    <row r="157" spans="1:13" x14ac:dyDescent="0.3">
      <c r="A157" s="1">
        <v>45132</v>
      </c>
      <c r="B157" t="str">
        <f>TEXT(Tabela2[[#This Row],[Data]],"mmm")</f>
        <v>jul</v>
      </c>
      <c r="C157">
        <f>YEAR(Tabela2[[#This Row],[Data]])</f>
        <v>2023</v>
      </c>
      <c r="D157" t="s">
        <v>26</v>
      </c>
      <c r="E157" t="s">
        <v>11</v>
      </c>
      <c r="F157" t="s">
        <v>19</v>
      </c>
      <c r="G157" t="s">
        <v>25</v>
      </c>
      <c r="H157">
        <v>4</v>
      </c>
      <c r="I157" s="8">
        <v>2814.1427292868302</v>
      </c>
      <c r="J157" s="8">
        <v>11256.570917147321</v>
      </c>
      <c r="K157" s="8">
        <v>6389.9280409980838</v>
      </c>
      <c r="L157" s="8">
        <v>4866.6428761492352</v>
      </c>
      <c r="M157" s="5">
        <f>Tabela2[[#This Row],[Lucro]]/Tabela2[[#This Row],[Receita]]</f>
        <v>0.43233795726687935</v>
      </c>
    </row>
    <row r="158" spans="1:13" x14ac:dyDescent="0.3">
      <c r="A158" s="1">
        <v>45132</v>
      </c>
      <c r="B158" t="str">
        <f>TEXT(Tabela2[[#This Row],[Data]],"mmm")</f>
        <v>jul</v>
      </c>
      <c r="C158">
        <f>YEAR(Tabela2[[#This Row],[Data]])</f>
        <v>2023</v>
      </c>
      <c r="D158" t="s">
        <v>10</v>
      </c>
      <c r="E158" t="s">
        <v>11</v>
      </c>
      <c r="F158" t="s">
        <v>24</v>
      </c>
      <c r="G158" t="s">
        <v>20</v>
      </c>
      <c r="H158">
        <v>9</v>
      </c>
      <c r="I158" s="8">
        <v>468.62741338736743</v>
      </c>
      <c r="J158" s="8">
        <v>4217.6467204863065</v>
      </c>
      <c r="K158" s="8">
        <v>2715.3476649625418</v>
      </c>
      <c r="L158" s="8">
        <v>1502.299055523765</v>
      </c>
      <c r="M158" s="5">
        <f>Tabela2[[#This Row],[Lucro]]/Tabela2[[#This Row],[Receita]]</f>
        <v>0.35619366795864443</v>
      </c>
    </row>
    <row r="159" spans="1:13" x14ac:dyDescent="0.3">
      <c r="A159" s="1">
        <v>45133</v>
      </c>
      <c r="B159" t="str">
        <f>TEXT(Tabela2[[#This Row],[Data]],"mmm")</f>
        <v>jul</v>
      </c>
      <c r="C159">
        <f>YEAR(Tabela2[[#This Row],[Data]])</f>
        <v>2023</v>
      </c>
      <c r="D159" t="s">
        <v>26</v>
      </c>
      <c r="E159" t="s">
        <v>11</v>
      </c>
      <c r="F159" t="s">
        <v>19</v>
      </c>
      <c r="G159" t="s">
        <v>22</v>
      </c>
      <c r="H159">
        <v>5</v>
      </c>
      <c r="I159" s="8">
        <v>3649.4868953432251</v>
      </c>
      <c r="J159" s="8">
        <v>18247.43447671612</v>
      </c>
      <c r="K159" s="8">
        <v>13189.46381266599</v>
      </c>
      <c r="L159" s="8">
        <v>5057.9706640501317</v>
      </c>
      <c r="M159" s="5">
        <f>Tabela2[[#This Row],[Lucro]]/Tabela2[[#This Row],[Receita]]</f>
        <v>0.27718804364000565</v>
      </c>
    </row>
    <row r="160" spans="1:13" x14ac:dyDescent="0.3">
      <c r="A160" s="1">
        <v>45133</v>
      </c>
      <c r="B160" t="str">
        <f>TEXT(Tabela2[[#This Row],[Data]],"mmm")</f>
        <v>jul</v>
      </c>
      <c r="C160">
        <f>YEAR(Tabela2[[#This Row],[Data]])</f>
        <v>2023</v>
      </c>
      <c r="D160" t="s">
        <v>10</v>
      </c>
      <c r="E160" t="s">
        <v>11</v>
      </c>
      <c r="F160" t="s">
        <v>16</v>
      </c>
      <c r="G160" t="s">
        <v>17</v>
      </c>
      <c r="H160">
        <v>4</v>
      </c>
      <c r="I160" s="8">
        <v>230.40469698325191</v>
      </c>
      <c r="J160" s="8">
        <v>921.61878793300764</v>
      </c>
      <c r="K160" s="8">
        <v>476.59308970128592</v>
      </c>
      <c r="L160" s="8">
        <v>445.02569823172172</v>
      </c>
      <c r="M160" s="5">
        <f>Tabela2[[#This Row],[Lucro]]/Tabela2[[#This Row],[Receita]]</f>
        <v>0.48287394317320559</v>
      </c>
    </row>
    <row r="161" spans="1:13" x14ac:dyDescent="0.3">
      <c r="A161" s="1">
        <v>45135</v>
      </c>
      <c r="B161" t="str">
        <f>TEXT(Tabela2[[#This Row],[Data]],"mmm")</f>
        <v>jul</v>
      </c>
      <c r="C161">
        <f>YEAR(Tabela2[[#This Row],[Data]])</f>
        <v>2023</v>
      </c>
      <c r="D161" t="s">
        <v>23</v>
      </c>
      <c r="E161" t="s">
        <v>15</v>
      </c>
      <c r="F161" t="s">
        <v>24</v>
      </c>
      <c r="G161" t="s">
        <v>20</v>
      </c>
      <c r="H161">
        <v>6</v>
      </c>
      <c r="I161" s="8">
        <v>247.49681139325651</v>
      </c>
      <c r="J161" s="8">
        <v>1484.980868359539</v>
      </c>
      <c r="K161" s="8">
        <v>1052.100875606073</v>
      </c>
      <c r="L161" s="8">
        <v>432.87999275346652</v>
      </c>
      <c r="M161" s="5">
        <f>Tabela2[[#This Row],[Lucro]]/Tabela2[[#This Row],[Receita]]</f>
        <v>0.29150543416203728</v>
      </c>
    </row>
    <row r="162" spans="1:13" x14ac:dyDescent="0.3">
      <c r="A162" s="1">
        <v>45139</v>
      </c>
      <c r="B162" t="str">
        <f>TEXT(Tabela2[[#This Row],[Data]],"mmm")</f>
        <v>ago</v>
      </c>
      <c r="C162">
        <f>YEAR(Tabela2[[#This Row],[Data]])</f>
        <v>2023</v>
      </c>
      <c r="D162" t="s">
        <v>18</v>
      </c>
      <c r="E162" t="s">
        <v>15</v>
      </c>
      <c r="F162" t="s">
        <v>24</v>
      </c>
      <c r="G162" t="s">
        <v>17</v>
      </c>
      <c r="H162">
        <v>5</v>
      </c>
      <c r="I162" s="8">
        <v>175.10789666473079</v>
      </c>
      <c r="J162" s="8">
        <v>875.53948332365405</v>
      </c>
      <c r="K162" s="8">
        <v>454.7420780072614</v>
      </c>
      <c r="L162" s="8">
        <v>420.79740531639271</v>
      </c>
      <c r="M162" s="5">
        <f>Tabela2[[#This Row],[Lucro]]/Tabela2[[#This Row],[Receita]]</f>
        <v>0.48061499604677421</v>
      </c>
    </row>
    <row r="163" spans="1:13" x14ac:dyDescent="0.3">
      <c r="A163" s="1">
        <v>45139</v>
      </c>
      <c r="B163" t="str">
        <f>TEXT(Tabela2[[#This Row],[Data]],"mmm")</f>
        <v>ago</v>
      </c>
      <c r="C163">
        <f>YEAR(Tabela2[[#This Row],[Data]])</f>
        <v>2023</v>
      </c>
      <c r="D163" t="s">
        <v>23</v>
      </c>
      <c r="E163" t="s">
        <v>15</v>
      </c>
      <c r="F163" t="s">
        <v>12</v>
      </c>
      <c r="G163" t="s">
        <v>13</v>
      </c>
      <c r="H163">
        <v>4</v>
      </c>
      <c r="I163" s="8">
        <v>266.63333419126582</v>
      </c>
      <c r="J163" s="8">
        <v>1066.533336765063</v>
      </c>
      <c r="K163" s="8">
        <v>721.50127297559095</v>
      </c>
      <c r="L163" s="8">
        <v>345.03206378947232</v>
      </c>
      <c r="M163" s="5">
        <f>Tabela2[[#This Row],[Lucro]]/Tabela2[[#This Row],[Receita]]</f>
        <v>0.32350799726148299</v>
      </c>
    </row>
    <row r="164" spans="1:13" x14ac:dyDescent="0.3">
      <c r="A164" s="1">
        <v>45140</v>
      </c>
      <c r="B164" t="str">
        <f>TEXT(Tabela2[[#This Row],[Data]],"mmm")</f>
        <v>ago</v>
      </c>
      <c r="C164">
        <f>YEAR(Tabela2[[#This Row],[Data]])</f>
        <v>2023</v>
      </c>
      <c r="D164" t="s">
        <v>14</v>
      </c>
      <c r="E164" t="s">
        <v>15</v>
      </c>
      <c r="F164" t="s">
        <v>12</v>
      </c>
      <c r="G164" t="s">
        <v>22</v>
      </c>
      <c r="H164">
        <v>4</v>
      </c>
      <c r="I164" s="8">
        <v>648.83699823858785</v>
      </c>
      <c r="J164" s="8">
        <v>2595.347992954351</v>
      </c>
      <c r="K164" s="8">
        <v>1880.2722821709369</v>
      </c>
      <c r="L164" s="8">
        <v>715.07571078341402</v>
      </c>
      <c r="M164" s="5">
        <f>Tabela2[[#This Row],[Lucro]]/Tabela2[[#This Row],[Receita]]</f>
        <v>0.27552209288490254</v>
      </c>
    </row>
    <row r="165" spans="1:13" x14ac:dyDescent="0.3">
      <c r="A165" s="1">
        <v>45141</v>
      </c>
      <c r="B165" t="str">
        <f>TEXT(Tabela2[[#This Row],[Data]],"mmm")</f>
        <v>ago</v>
      </c>
      <c r="C165">
        <f>YEAR(Tabela2[[#This Row],[Data]])</f>
        <v>2023</v>
      </c>
      <c r="D165" t="s">
        <v>14</v>
      </c>
      <c r="E165" t="s">
        <v>15</v>
      </c>
      <c r="F165" t="s">
        <v>16</v>
      </c>
      <c r="G165" t="s">
        <v>17</v>
      </c>
      <c r="H165">
        <v>4</v>
      </c>
      <c r="I165" s="8">
        <v>131.43611797911379</v>
      </c>
      <c r="J165" s="8">
        <v>525.74447191645527</v>
      </c>
      <c r="K165" s="8">
        <v>365.53254090432841</v>
      </c>
      <c r="L165" s="8">
        <v>160.21193101212691</v>
      </c>
      <c r="M165" s="5">
        <f>Tabela2[[#This Row],[Lucro]]/Tabela2[[#This Row],[Receita]]</f>
        <v>0.30473345811534425</v>
      </c>
    </row>
    <row r="166" spans="1:13" x14ac:dyDescent="0.3">
      <c r="A166" s="1">
        <v>45142</v>
      </c>
      <c r="B166" t="str">
        <f>TEXT(Tabela2[[#This Row],[Data]],"mmm")</f>
        <v>ago</v>
      </c>
      <c r="C166">
        <f>YEAR(Tabela2[[#This Row],[Data]])</f>
        <v>2023</v>
      </c>
      <c r="D166" t="s">
        <v>23</v>
      </c>
      <c r="E166" t="s">
        <v>15</v>
      </c>
      <c r="F166" t="s">
        <v>16</v>
      </c>
      <c r="G166" t="s">
        <v>25</v>
      </c>
      <c r="H166">
        <v>8</v>
      </c>
      <c r="I166" s="8">
        <v>234.28299853224999</v>
      </c>
      <c r="J166" s="8">
        <v>1874.2639882579999</v>
      </c>
      <c r="K166" s="8">
        <v>1252.707496642869</v>
      </c>
      <c r="L166" s="8">
        <v>621.55649161513134</v>
      </c>
      <c r="M166" s="5">
        <f>Tabela2[[#This Row],[Lucro]]/Tabela2[[#This Row],[Receita]]</f>
        <v>0.33162697224568966</v>
      </c>
    </row>
    <row r="167" spans="1:13" x14ac:dyDescent="0.3">
      <c r="A167" s="1">
        <v>45143</v>
      </c>
      <c r="B167" t="str">
        <f>TEXT(Tabela2[[#This Row],[Data]],"mmm")</f>
        <v>ago</v>
      </c>
      <c r="C167">
        <f>YEAR(Tabela2[[#This Row],[Data]])</f>
        <v>2023</v>
      </c>
      <c r="D167" t="s">
        <v>10</v>
      </c>
      <c r="E167" t="s">
        <v>11</v>
      </c>
      <c r="F167" t="s">
        <v>19</v>
      </c>
      <c r="G167" t="s">
        <v>25</v>
      </c>
      <c r="H167">
        <v>9</v>
      </c>
      <c r="I167" s="8">
        <v>251.09333444918431</v>
      </c>
      <c r="J167" s="8">
        <v>2259.8400100426579</v>
      </c>
      <c r="K167" s="8">
        <v>1241.963057390886</v>
      </c>
      <c r="L167" s="8">
        <v>1017.876952651773</v>
      </c>
      <c r="M167" s="5">
        <f>Tabela2[[#This Row],[Lucro]]/Tabela2[[#This Row],[Receita]]</f>
        <v>0.45041991828109945</v>
      </c>
    </row>
    <row r="168" spans="1:13" x14ac:dyDescent="0.3">
      <c r="A168" s="1">
        <v>45146</v>
      </c>
      <c r="B168" t="str">
        <f>TEXT(Tabela2[[#This Row],[Data]],"mmm")</f>
        <v>ago</v>
      </c>
      <c r="C168">
        <f>YEAR(Tabela2[[#This Row],[Data]])</f>
        <v>2023</v>
      </c>
      <c r="D168" t="s">
        <v>26</v>
      </c>
      <c r="E168" t="s">
        <v>11</v>
      </c>
      <c r="F168" t="s">
        <v>24</v>
      </c>
      <c r="G168" t="s">
        <v>22</v>
      </c>
      <c r="H168">
        <v>8</v>
      </c>
      <c r="I168" s="8">
        <v>2084.590925543188</v>
      </c>
      <c r="J168" s="8">
        <v>16676.727404345511</v>
      </c>
      <c r="K168" s="8">
        <v>12540.20510378278</v>
      </c>
      <c r="L168" s="8">
        <v>4136.5223005627249</v>
      </c>
      <c r="M168" s="5">
        <f>Tabela2[[#This Row],[Lucro]]/Tabela2[[#This Row],[Receita]]</f>
        <v>0.24804160913998374</v>
      </c>
    </row>
    <row r="169" spans="1:13" x14ac:dyDescent="0.3">
      <c r="A169" s="1">
        <v>45146</v>
      </c>
      <c r="B169" t="str">
        <f>TEXT(Tabela2[[#This Row],[Data]],"mmm")</f>
        <v>ago</v>
      </c>
      <c r="C169">
        <f>YEAR(Tabela2[[#This Row],[Data]])</f>
        <v>2023</v>
      </c>
      <c r="D169" t="s">
        <v>23</v>
      </c>
      <c r="E169" t="s">
        <v>15</v>
      </c>
      <c r="F169" t="s">
        <v>21</v>
      </c>
      <c r="G169" t="s">
        <v>25</v>
      </c>
      <c r="H169">
        <v>5</v>
      </c>
      <c r="I169" s="8">
        <v>389.85558668811359</v>
      </c>
      <c r="J169" s="8">
        <v>1949.2779334405679</v>
      </c>
      <c r="K169" s="8">
        <v>1031.8507578683871</v>
      </c>
      <c r="L169" s="8">
        <v>917.42717557218111</v>
      </c>
      <c r="M169" s="5">
        <f>Tabela2[[#This Row],[Lucro]]/Tabela2[[#This Row],[Receita]]</f>
        <v>0.47064975180469965</v>
      </c>
    </row>
    <row r="170" spans="1:13" x14ac:dyDescent="0.3">
      <c r="A170" s="1">
        <v>45147</v>
      </c>
      <c r="B170" t="str">
        <f>TEXT(Tabela2[[#This Row],[Data]],"mmm")</f>
        <v>ago</v>
      </c>
      <c r="C170">
        <f>YEAR(Tabela2[[#This Row],[Data]])</f>
        <v>2023</v>
      </c>
      <c r="D170" t="s">
        <v>23</v>
      </c>
      <c r="E170" t="s">
        <v>15</v>
      </c>
      <c r="F170" t="s">
        <v>16</v>
      </c>
      <c r="G170" t="s">
        <v>25</v>
      </c>
      <c r="H170">
        <v>2</v>
      </c>
      <c r="I170" s="8">
        <v>36.271688647399714</v>
      </c>
      <c r="J170" s="8">
        <v>72.543377294799427</v>
      </c>
      <c r="K170" s="8">
        <v>50.488660350581753</v>
      </c>
      <c r="L170" s="8">
        <v>22.054716944217681</v>
      </c>
      <c r="M170" s="5">
        <f>Tabela2[[#This Row],[Lucro]]/Tabela2[[#This Row],[Receita]]</f>
        <v>0.30402109422880103</v>
      </c>
    </row>
    <row r="171" spans="1:13" x14ac:dyDescent="0.3">
      <c r="A171" s="1">
        <v>45149</v>
      </c>
      <c r="B171" t="str">
        <f>TEXT(Tabela2[[#This Row],[Data]],"mmm")</f>
        <v>ago</v>
      </c>
      <c r="C171">
        <f>YEAR(Tabela2[[#This Row],[Data]])</f>
        <v>2023</v>
      </c>
      <c r="D171" t="s">
        <v>26</v>
      </c>
      <c r="E171" t="s">
        <v>11</v>
      </c>
      <c r="F171" t="s">
        <v>24</v>
      </c>
      <c r="G171" t="s">
        <v>25</v>
      </c>
      <c r="H171">
        <v>8</v>
      </c>
      <c r="I171" s="8">
        <v>4739.3847900236406</v>
      </c>
      <c r="J171" s="8">
        <v>37915.078320189132</v>
      </c>
      <c r="K171" s="8">
        <v>26070.081709891889</v>
      </c>
      <c r="L171" s="8">
        <v>11844.996610297239</v>
      </c>
      <c r="M171" s="5">
        <f>Tabela2[[#This Row],[Lucro]]/Tabela2[[#This Row],[Receita]]</f>
        <v>0.3124086019358156</v>
      </c>
    </row>
    <row r="172" spans="1:13" x14ac:dyDescent="0.3">
      <c r="A172" s="1">
        <v>45150</v>
      </c>
      <c r="B172" t="str">
        <f>TEXT(Tabela2[[#This Row],[Data]],"mmm")</f>
        <v>ago</v>
      </c>
      <c r="C172">
        <f>YEAR(Tabela2[[#This Row],[Data]])</f>
        <v>2023</v>
      </c>
      <c r="D172" t="s">
        <v>23</v>
      </c>
      <c r="E172" t="s">
        <v>15</v>
      </c>
      <c r="F172" t="s">
        <v>19</v>
      </c>
      <c r="G172" t="s">
        <v>22</v>
      </c>
      <c r="H172">
        <v>7</v>
      </c>
      <c r="I172" s="8">
        <v>605.67943287736796</v>
      </c>
      <c r="J172" s="8">
        <v>4239.756030141576</v>
      </c>
      <c r="K172" s="8">
        <v>3079.6013251910549</v>
      </c>
      <c r="L172" s="8">
        <v>1160.1547049505209</v>
      </c>
      <c r="M172" s="5">
        <f>Tabela2[[#This Row],[Lucro]]/Tabela2[[#This Row],[Receita]]</f>
        <v>0.27363713777459514</v>
      </c>
    </row>
    <row r="173" spans="1:13" x14ac:dyDescent="0.3">
      <c r="A173" s="1">
        <v>45152</v>
      </c>
      <c r="B173" t="str">
        <f>TEXT(Tabela2[[#This Row],[Data]],"mmm")</f>
        <v>ago</v>
      </c>
      <c r="C173">
        <f>YEAR(Tabela2[[#This Row],[Data]])</f>
        <v>2023</v>
      </c>
      <c r="D173" t="s">
        <v>26</v>
      </c>
      <c r="E173" t="s">
        <v>11</v>
      </c>
      <c r="F173" t="s">
        <v>24</v>
      </c>
      <c r="G173" t="s">
        <v>22</v>
      </c>
      <c r="H173">
        <v>1</v>
      </c>
      <c r="I173" s="8">
        <v>4788.4878017674619</v>
      </c>
      <c r="J173" s="8">
        <v>4788.4878017674619</v>
      </c>
      <c r="K173" s="8">
        <v>3581.1266697017918</v>
      </c>
      <c r="L173" s="8">
        <v>1207.3611320656701</v>
      </c>
      <c r="M173" s="5">
        <f>Tabela2[[#This Row],[Lucro]]/Tabela2[[#This Row],[Receita]]</f>
        <v>0.25213829126181031</v>
      </c>
    </row>
    <row r="174" spans="1:13" x14ac:dyDescent="0.3">
      <c r="A174" s="1">
        <v>45152</v>
      </c>
      <c r="B174" t="str">
        <f>TEXT(Tabela2[[#This Row],[Data]],"mmm")</f>
        <v>ago</v>
      </c>
      <c r="C174">
        <f>YEAR(Tabela2[[#This Row],[Data]])</f>
        <v>2023</v>
      </c>
      <c r="D174" t="s">
        <v>18</v>
      </c>
      <c r="E174" t="s">
        <v>15</v>
      </c>
      <c r="F174" t="s">
        <v>24</v>
      </c>
      <c r="G174" t="s">
        <v>20</v>
      </c>
      <c r="H174">
        <v>3</v>
      </c>
      <c r="I174" s="8">
        <v>725.24378170512375</v>
      </c>
      <c r="J174" s="8">
        <v>2175.7313451153709</v>
      </c>
      <c r="K174" s="8">
        <v>1315.1787732708019</v>
      </c>
      <c r="L174" s="8">
        <v>860.55257184456968</v>
      </c>
      <c r="M174" s="5">
        <f>Tabela2[[#This Row],[Lucro]]/Tabela2[[#This Row],[Receita]]</f>
        <v>0.39552335989301002</v>
      </c>
    </row>
    <row r="175" spans="1:13" x14ac:dyDescent="0.3">
      <c r="A175" s="1">
        <v>45153</v>
      </c>
      <c r="B175" t="str">
        <f>TEXT(Tabela2[[#This Row],[Data]],"mmm")</f>
        <v>ago</v>
      </c>
      <c r="C175">
        <f>YEAR(Tabela2[[#This Row],[Data]])</f>
        <v>2023</v>
      </c>
      <c r="D175" t="s">
        <v>23</v>
      </c>
      <c r="E175" t="s">
        <v>15</v>
      </c>
      <c r="F175" t="s">
        <v>16</v>
      </c>
      <c r="G175" t="s">
        <v>22</v>
      </c>
      <c r="H175">
        <v>5</v>
      </c>
      <c r="I175" s="8">
        <v>457.79621410420708</v>
      </c>
      <c r="J175" s="8">
        <v>2288.9810705210348</v>
      </c>
      <c r="K175" s="8">
        <v>1673.90931953321</v>
      </c>
      <c r="L175" s="8">
        <v>615.07175098782523</v>
      </c>
      <c r="M175" s="5">
        <f>Tabela2[[#This Row],[Lucro]]/Tabela2[[#This Row],[Receita]]</f>
        <v>0.26870984601363174</v>
      </c>
    </row>
    <row r="176" spans="1:13" x14ac:dyDescent="0.3">
      <c r="A176" s="1">
        <v>45157</v>
      </c>
      <c r="B176" t="str">
        <f>TEXT(Tabela2[[#This Row],[Data]],"mmm")</f>
        <v>ago</v>
      </c>
      <c r="C176">
        <f>YEAR(Tabela2[[#This Row],[Data]])</f>
        <v>2023</v>
      </c>
      <c r="D176" t="s">
        <v>26</v>
      </c>
      <c r="E176" t="s">
        <v>11</v>
      </c>
      <c r="F176" t="s">
        <v>12</v>
      </c>
      <c r="G176" t="s">
        <v>25</v>
      </c>
      <c r="H176">
        <v>6</v>
      </c>
      <c r="I176" s="8">
        <v>838.55490206395245</v>
      </c>
      <c r="J176" s="8">
        <v>5031.329412383715</v>
      </c>
      <c r="K176" s="8">
        <v>2610.9214064873249</v>
      </c>
      <c r="L176" s="8">
        <v>2420.40800589639</v>
      </c>
      <c r="M176" s="5">
        <f>Tabela2[[#This Row],[Lucro]]/Tabela2[[#This Row],[Receita]]</f>
        <v>0.48106729007625498</v>
      </c>
    </row>
    <row r="177" spans="1:13" x14ac:dyDescent="0.3">
      <c r="A177" s="1">
        <v>45157</v>
      </c>
      <c r="B177" t="str">
        <f>TEXT(Tabela2[[#This Row],[Data]],"mmm")</f>
        <v>ago</v>
      </c>
      <c r="C177">
        <f>YEAR(Tabela2[[#This Row],[Data]])</f>
        <v>2023</v>
      </c>
      <c r="D177" t="s">
        <v>14</v>
      </c>
      <c r="E177" t="s">
        <v>15</v>
      </c>
      <c r="F177" t="s">
        <v>19</v>
      </c>
      <c r="G177" t="s">
        <v>17</v>
      </c>
      <c r="H177">
        <v>6</v>
      </c>
      <c r="I177" s="8">
        <v>606.87443363028171</v>
      </c>
      <c r="J177" s="8">
        <v>3641.246601781691</v>
      </c>
      <c r="K177" s="8">
        <v>2592.9103614994842</v>
      </c>
      <c r="L177" s="8">
        <v>1048.3362402822061</v>
      </c>
      <c r="M177" s="5">
        <f>Tabela2[[#This Row],[Lucro]]/Tabela2[[#This Row],[Receita]]</f>
        <v>0.28790586162696225</v>
      </c>
    </row>
    <row r="178" spans="1:13" x14ac:dyDescent="0.3">
      <c r="A178" s="1">
        <v>45158</v>
      </c>
      <c r="B178" t="str">
        <f>TEXT(Tabela2[[#This Row],[Data]],"mmm")</f>
        <v>ago</v>
      </c>
      <c r="C178">
        <f>YEAR(Tabela2[[#This Row],[Data]])</f>
        <v>2023</v>
      </c>
      <c r="D178" t="s">
        <v>14</v>
      </c>
      <c r="E178" t="s">
        <v>15</v>
      </c>
      <c r="F178" t="s">
        <v>21</v>
      </c>
      <c r="G178" t="s">
        <v>17</v>
      </c>
      <c r="H178">
        <v>4</v>
      </c>
      <c r="I178" s="8">
        <v>690.46088068461768</v>
      </c>
      <c r="J178" s="8">
        <v>2761.8435227384712</v>
      </c>
      <c r="K178" s="8">
        <v>1706.040778819234</v>
      </c>
      <c r="L178" s="8">
        <v>1055.8027439192369</v>
      </c>
      <c r="M178" s="5">
        <f>Tabela2[[#This Row],[Lucro]]/Tabela2[[#This Row],[Receita]]</f>
        <v>0.38228188354145748</v>
      </c>
    </row>
    <row r="179" spans="1:13" x14ac:dyDescent="0.3">
      <c r="A179" s="1">
        <v>45159</v>
      </c>
      <c r="B179" t="str">
        <f>TEXT(Tabela2[[#This Row],[Data]],"mmm")</f>
        <v>ago</v>
      </c>
      <c r="C179">
        <f>YEAR(Tabela2[[#This Row],[Data]])</f>
        <v>2023</v>
      </c>
      <c r="D179" t="s">
        <v>26</v>
      </c>
      <c r="E179" t="s">
        <v>11</v>
      </c>
      <c r="F179" t="s">
        <v>21</v>
      </c>
      <c r="G179" t="s">
        <v>17</v>
      </c>
      <c r="H179">
        <v>6</v>
      </c>
      <c r="I179" s="8">
        <v>2942.355844019346</v>
      </c>
      <c r="J179" s="8">
        <v>17654.135064116079</v>
      </c>
      <c r="K179" s="8">
        <v>13599.817101453449</v>
      </c>
      <c r="L179" s="8">
        <v>4054.3179626626211</v>
      </c>
      <c r="M179" s="5">
        <f>Tabela2[[#This Row],[Lucro]]/Tabela2[[#This Row],[Receita]]</f>
        <v>0.22965259685270317</v>
      </c>
    </row>
    <row r="180" spans="1:13" x14ac:dyDescent="0.3">
      <c r="A180" s="1">
        <v>45159</v>
      </c>
      <c r="B180" t="str">
        <f>TEXT(Tabela2[[#This Row],[Data]],"mmm")</f>
        <v>ago</v>
      </c>
      <c r="C180">
        <f>YEAR(Tabela2[[#This Row],[Data]])</f>
        <v>2023</v>
      </c>
      <c r="D180" t="s">
        <v>14</v>
      </c>
      <c r="E180" t="s">
        <v>15</v>
      </c>
      <c r="F180" t="s">
        <v>16</v>
      </c>
      <c r="G180" t="s">
        <v>22</v>
      </c>
      <c r="H180">
        <v>5</v>
      </c>
      <c r="I180" s="8">
        <v>560.10010565441087</v>
      </c>
      <c r="J180" s="8">
        <v>2800.500528272054</v>
      </c>
      <c r="K180" s="8">
        <v>1626.597079073757</v>
      </c>
      <c r="L180" s="8">
        <v>1173.903449198297</v>
      </c>
      <c r="M180" s="5">
        <f>Tabela2[[#This Row],[Lucro]]/Tabela2[[#This Row],[Receita]]</f>
        <v>0.41917629986044352</v>
      </c>
    </row>
    <row r="181" spans="1:13" x14ac:dyDescent="0.3">
      <c r="A181" s="1">
        <v>45159</v>
      </c>
      <c r="B181" t="str">
        <f>TEXT(Tabela2[[#This Row],[Data]],"mmm")</f>
        <v>ago</v>
      </c>
      <c r="C181">
        <f>YEAR(Tabela2[[#This Row],[Data]])</f>
        <v>2023</v>
      </c>
      <c r="D181" t="s">
        <v>18</v>
      </c>
      <c r="E181" t="s">
        <v>15</v>
      </c>
      <c r="F181" t="s">
        <v>19</v>
      </c>
      <c r="G181" t="s">
        <v>25</v>
      </c>
      <c r="H181">
        <v>5</v>
      </c>
      <c r="I181" s="8">
        <v>99.957587832729814</v>
      </c>
      <c r="J181" s="8">
        <v>499.78793916364913</v>
      </c>
      <c r="K181" s="8">
        <v>390.41861783023569</v>
      </c>
      <c r="L181" s="8">
        <v>109.3693213334134</v>
      </c>
      <c r="M181" s="5">
        <f>Tabela2[[#This Row],[Lucro]]/Tabela2[[#This Row],[Receita]]</f>
        <v>0.21883145382906452</v>
      </c>
    </row>
    <row r="182" spans="1:13" x14ac:dyDescent="0.3">
      <c r="A182" s="1">
        <v>45161</v>
      </c>
      <c r="B182" t="str">
        <f>TEXT(Tabela2[[#This Row],[Data]],"mmm")</f>
        <v>ago</v>
      </c>
      <c r="C182">
        <f>YEAR(Tabela2[[#This Row],[Data]])</f>
        <v>2023</v>
      </c>
      <c r="D182" t="s">
        <v>10</v>
      </c>
      <c r="E182" t="s">
        <v>11</v>
      </c>
      <c r="F182" t="s">
        <v>24</v>
      </c>
      <c r="G182" t="s">
        <v>20</v>
      </c>
      <c r="H182">
        <v>2</v>
      </c>
      <c r="I182" s="8">
        <v>232.3997146851078</v>
      </c>
      <c r="J182" s="8">
        <v>464.79942937021559</v>
      </c>
      <c r="K182" s="8">
        <v>234.96410747460621</v>
      </c>
      <c r="L182" s="8">
        <v>229.83532189560941</v>
      </c>
      <c r="M182" s="5">
        <f>Tabela2[[#This Row],[Lucro]]/Tabela2[[#This Row],[Receita]]</f>
        <v>0.49448279703576004</v>
      </c>
    </row>
    <row r="183" spans="1:13" x14ac:dyDescent="0.3">
      <c r="A183" s="1">
        <v>45163</v>
      </c>
      <c r="B183" t="str">
        <f>TEXT(Tabela2[[#This Row],[Data]],"mmm")</f>
        <v>ago</v>
      </c>
      <c r="C183">
        <f>YEAR(Tabela2[[#This Row],[Data]])</f>
        <v>2023</v>
      </c>
      <c r="D183" t="s">
        <v>26</v>
      </c>
      <c r="E183" t="s">
        <v>11</v>
      </c>
      <c r="F183" t="s">
        <v>16</v>
      </c>
      <c r="G183" t="s">
        <v>25</v>
      </c>
      <c r="H183">
        <v>1</v>
      </c>
      <c r="I183" s="8">
        <v>828.83626552750354</v>
      </c>
      <c r="J183" s="8">
        <v>828.83626552750354</v>
      </c>
      <c r="K183" s="8">
        <v>454.30176005135041</v>
      </c>
      <c r="L183" s="8">
        <v>374.53450547615319</v>
      </c>
      <c r="M183" s="5">
        <f>Tabela2[[#This Row],[Lucro]]/Tabela2[[#This Row],[Receita]]</f>
        <v>0.45187996840097833</v>
      </c>
    </row>
    <row r="184" spans="1:13" x14ac:dyDescent="0.3">
      <c r="A184" s="1">
        <v>45166</v>
      </c>
      <c r="B184" t="str">
        <f>TEXT(Tabela2[[#This Row],[Data]],"mmm")</f>
        <v>ago</v>
      </c>
      <c r="C184">
        <f>YEAR(Tabela2[[#This Row],[Data]])</f>
        <v>2023</v>
      </c>
      <c r="D184" t="s">
        <v>26</v>
      </c>
      <c r="E184" t="s">
        <v>11</v>
      </c>
      <c r="F184" t="s">
        <v>21</v>
      </c>
      <c r="G184" t="s">
        <v>25</v>
      </c>
      <c r="H184">
        <v>6</v>
      </c>
      <c r="I184" s="8">
        <v>3494.2733936148652</v>
      </c>
      <c r="J184" s="8">
        <v>20965.640361689191</v>
      </c>
      <c r="K184" s="8">
        <v>15881.63278174874</v>
      </c>
      <c r="L184" s="8">
        <v>5084.0075799404494</v>
      </c>
      <c r="M184" s="5">
        <f>Tabela2[[#This Row],[Lucro]]/Tabela2[[#This Row],[Receita]]</f>
        <v>0.24249235855588402</v>
      </c>
    </row>
    <row r="185" spans="1:13" x14ac:dyDescent="0.3">
      <c r="A185" s="1">
        <v>45168</v>
      </c>
      <c r="B185" t="str">
        <f>TEXT(Tabela2[[#This Row],[Data]],"mmm")</f>
        <v>ago</v>
      </c>
      <c r="C185">
        <f>YEAR(Tabela2[[#This Row],[Data]])</f>
        <v>2023</v>
      </c>
      <c r="D185" t="s">
        <v>23</v>
      </c>
      <c r="E185" t="s">
        <v>15</v>
      </c>
      <c r="F185" t="s">
        <v>21</v>
      </c>
      <c r="G185" t="s">
        <v>13</v>
      </c>
      <c r="H185">
        <v>2</v>
      </c>
      <c r="I185" s="8">
        <v>388.85573319388209</v>
      </c>
      <c r="J185" s="8">
        <v>777.71146638776418</v>
      </c>
      <c r="K185" s="8">
        <v>513.76197352186978</v>
      </c>
      <c r="L185" s="8">
        <v>263.9494928658944</v>
      </c>
      <c r="M185" s="5">
        <f>Tabela2[[#This Row],[Lucro]]/Tabela2[[#This Row],[Receita]]</f>
        <v>0.33939256944720181</v>
      </c>
    </row>
    <row r="186" spans="1:13" x14ac:dyDescent="0.3">
      <c r="A186" s="1">
        <v>45169</v>
      </c>
      <c r="B186" t="str">
        <f>TEXT(Tabela2[[#This Row],[Data]],"mmm")</f>
        <v>ago</v>
      </c>
      <c r="C186">
        <f>YEAR(Tabela2[[#This Row],[Data]])</f>
        <v>2023</v>
      </c>
      <c r="D186" t="s">
        <v>23</v>
      </c>
      <c r="E186" t="s">
        <v>15</v>
      </c>
      <c r="F186" t="s">
        <v>19</v>
      </c>
      <c r="G186" t="s">
        <v>20</v>
      </c>
      <c r="H186">
        <v>4</v>
      </c>
      <c r="I186" s="8">
        <v>776.18693795478771</v>
      </c>
      <c r="J186" s="8">
        <v>3104.7477518191508</v>
      </c>
      <c r="K186" s="8">
        <v>2358.5282669004132</v>
      </c>
      <c r="L186" s="8">
        <v>746.21948491873809</v>
      </c>
      <c r="M186" s="5">
        <f>Tabela2[[#This Row],[Lucro]]/Tabela2[[#This Row],[Receita]]</f>
        <v>0.24034786223180582</v>
      </c>
    </row>
    <row r="187" spans="1:13" x14ac:dyDescent="0.3">
      <c r="A187" s="1">
        <v>45170</v>
      </c>
      <c r="B187" t="str">
        <f>TEXT(Tabela2[[#This Row],[Data]],"mmm")</f>
        <v>set</v>
      </c>
      <c r="C187">
        <f>YEAR(Tabela2[[#This Row],[Data]])</f>
        <v>2023</v>
      </c>
      <c r="D187" t="s">
        <v>14</v>
      </c>
      <c r="E187" t="s">
        <v>15</v>
      </c>
      <c r="F187" t="s">
        <v>21</v>
      </c>
      <c r="G187" t="s">
        <v>13</v>
      </c>
      <c r="H187">
        <v>2</v>
      </c>
      <c r="I187" s="8">
        <v>506.19938970589283</v>
      </c>
      <c r="J187" s="8">
        <v>1012.398779411786</v>
      </c>
      <c r="K187" s="8">
        <v>650.23457144982808</v>
      </c>
      <c r="L187" s="8">
        <v>362.16420796195752</v>
      </c>
      <c r="M187" s="5">
        <f>Tabela2[[#This Row],[Lucro]]/Tabela2[[#This Row],[Receita]]</f>
        <v>0.35772880738988899</v>
      </c>
    </row>
    <row r="188" spans="1:13" x14ac:dyDescent="0.3">
      <c r="A188" s="1">
        <v>45171</v>
      </c>
      <c r="B188" t="str">
        <f>TEXT(Tabela2[[#This Row],[Data]],"mmm")</f>
        <v>set</v>
      </c>
      <c r="C188">
        <f>YEAR(Tabela2[[#This Row],[Data]])</f>
        <v>2023</v>
      </c>
      <c r="D188" t="s">
        <v>14</v>
      </c>
      <c r="E188" t="s">
        <v>15</v>
      </c>
      <c r="F188" t="s">
        <v>12</v>
      </c>
      <c r="G188" t="s">
        <v>22</v>
      </c>
      <c r="H188">
        <v>1</v>
      </c>
      <c r="I188" s="8">
        <v>476.04314634521921</v>
      </c>
      <c r="J188" s="8">
        <v>476.04314634521921</v>
      </c>
      <c r="K188" s="8">
        <v>336.3065645146084</v>
      </c>
      <c r="L188" s="8">
        <v>139.73658183061079</v>
      </c>
      <c r="M188" s="5">
        <f>Tabela2[[#This Row],[Lucro]]/Tabela2[[#This Row],[Receita]]</f>
        <v>0.29353764024002132</v>
      </c>
    </row>
    <row r="189" spans="1:13" x14ac:dyDescent="0.3">
      <c r="A189" s="1">
        <v>45172</v>
      </c>
      <c r="B189" t="str">
        <f>TEXT(Tabela2[[#This Row],[Data]],"mmm")</f>
        <v>set</v>
      </c>
      <c r="C189">
        <f>YEAR(Tabela2[[#This Row],[Data]])</f>
        <v>2023</v>
      </c>
      <c r="D189" t="s">
        <v>23</v>
      </c>
      <c r="E189" t="s">
        <v>15</v>
      </c>
      <c r="F189" t="s">
        <v>24</v>
      </c>
      <c r="G189" t="s">
        <v>20</v>
      </c>
      <c r="H189">
        <v>8</v>
      </c>
      <c r="I189" s="8">
        <v>437.54190253302153</v>
      </c>
      <c r="J189" s="8">
        <v>3500.3352202641722</v>
      </c>
      <c r="K189" s="8">
        <v>1976.151217758701</v>
      </c>
      <c r="L189" s="8">
        <v>1524.1840025054701</v>
      </c>
      <c r="M189" s="5">
        <f>Tabela2[[#This Row],[Lucro]]/Tabela2[[#This Row],[Receita]]</f>
        <v>0.43543943839482868</v>
      </c>
    </row>
    <row r="190" spans="1:13" x14ac:dyDescent="0.3">
      <c r="A190" s="1">
        <v>45172</v>
      </c>
      <c r="B190" t="str">
        <f>TEXT(Tabela2[[#This Row],[Data]],"mmm")</f>
        <v>set</v>
      </c>
      <c r="C190">
        <f>YEAR(Tabela2[[#This Row],[Data]])</f>
        <v>2023</v>
      </c>
      <c r="D190" t="s">
        <v>23</v>
      </c>
      <c r="E190" t="s">
        <v>15</v>
      </c>
      <c r="F190" t="s">
        <v>21</v>
      </c>
      <c r="G190" t="s">
        <v>20</v>
      </c>
      <c r="H190">
        <v>4</v>
      </c>
      <c r="I190" s="8">
        <v>441.0773675483909</v>
      </c>
      <c r="J190" s="8">
        <v>1764.309470193564</v>
      </c>
      <c r="K190" s="8">
        <v>967.90752081685378</v>
      </c>
      <c r="L190" s="8">
        <v>796.40194937670981</v>
      </c>
      <c r="M190" s="5">
        <f>Tabela2[[#This Row],[Lucro]]/Tabela2[[#This Row],[Receita]]</f>
        <v>0.45139583663252447</v>
      </c>
    </row>
    <row r="191" spans="1:13" x14ac:dyDescent="0.3">
      <c r="A191" s="1">
        <v>45175</v>
      </c>
      <c r="B191" t="str">
        <f>TEXT(Tabela2[[#This Row],[Data]],"mmm")</f>
        <v>set</v>
      </c>
      <c r="C191">
        <f>YEAR(Tabela2[[#This Row],[Data]])</f>
        <v>2023</v>
      </c>
      <c r="D191" t="s">
        <v>26</v>
      </c>
      <c r="E191" t="s">
        <v>11</v>
      </c>
      <c r="F191" t="s">
        <v>21</v>
      </c>
      <c r="G191" t="s">
        <v>13</v>
      </c>
      <c r="H191">
        <v>3</v>
      </c>
      <c r="I191" s="8">
        <v>2015.058509517703</v>
      </c>
      <c r="J191" s="8">
        <v>6045.175528553109</v>
      </c>
      <c r="K191" s="8">
        <v>3833.6131205265378</v>
      </c>
      <c r="L191" s="8">
        <v>2211.5624080265711</v>
      </c>
      <c r="M191" s="5">
        <f>Tabela2[[#This Row],[Lucro]]/Tabela2[[#This Row],[Receita]]</f>
        <v>0.36583923784854938</v>
      </c>
    </row>
    <row r="192" spans="1:13" x14ac:dyDescent="0.3">
      <c r="A192" s="1">
        <v>45175</v>
      </c>
      <c r="B192" t="str">
        <f>TEXT(Tabela2[[#This Row],[Data]],"mmm")</f>
        <v>set</v>
      </c>
      <c r="C192">
        <f>YEAR(Tabela2[[#This Row],[Data]])</f>
        <v>2023</v>
      </c>
      <c r="D192" t="s">
        <v>10</v>
      </c>
      <c r="E192" t="s">
        <v>11</v>
      </c>
      <c r="F192" t="s">
        <v>24</v>
      </c>
      <c r="G192" t="s">
        <v>17</v>
      </c>
      <c r="H192">
        <v>9</v>
      </c>
      <c r="I192" s="8">
        <v>463.44582132496748</v>
      </c>
      <c r="J192" s="8">
        <v>4171.0123919247071</v>
      </c>
      <c r="K192" s="8">
        <v>2806.1627580269869</v>
      </c>
      <c r="L192" s="8">
        <v>1364.84963389772</v>
      </c>
      <c r="M192" s="5">
        <f>Tabela2[[#This Row],[Lucro]]/Tabela2[[#This Row],[Receita]]</f>
        <v>0.32722262742257457</v>
      </c>
    </row>
    <row r="193" spans="1:13" x14ac:dyDescent="0.3">
      <c r="A193" s="1">
        <v>45177</v>
      </c>
      <c r="B193" t="str">
        <f>TEXT(Tabela2[[#This Row],[Data]],"mmm")</f>
        <v>set</v>
      </c>
      <c r="C193">
        <f>YEAR(Tabela2[[#This Row],[Data]])</f>
        <v>2023</v>
      </c>
      <c r="D193" t="s">
        <v>23</v>
      </c>
      <c r="E193" t="s">
        <v>15</v>
      </c>
      <c r="F193" t="s">
        <v>12</v>
      </c>
      <c r="G193" t="s">
        <v>20</v>
      </c>
      <c r="H193">
        <v>3</v>
      </c>
      <c r="I193" s="8">
        <v>74.623170483027394</v>
      </c>
      <c r="J193" s="8">
        <v>223.86951144908221</v>
      </c>
      <c r="K193" s="8">
        <v>112.5718055422295</v>
      </c>
      <c r="L193" s="8">
        <v>111.2977059068527</v>
      </c>
      <c r="M193" s="5">
        <f>Tabela2[[#This Row],[Lucro]]/Tabela2[[#This Row],[Receita]]</f>
        <v>0.4971543699114504</v>
      </c>
    </row>
    <row r="194" spans="1:13" x14ac:dyDescent="0.3">
      <c r="A194" s="1">
        <v>45178</v>
      </c>
      <c r="B194" t="str">
        <f>TEXT(Tabela2[[#This Row],[Data]],"mmm")</f>
        <v>set</v>
      </c>
      <c r="C194">
        <f>YEAR(Tabela2[[#This Row],[Data]])</f>
        <v>2023</v>
      </c>
      <c r="D194" t="s">
        <v>23</v>
      </c>
      <c r="E194" t="s">
        <v>15</v>
      </c>
      <c r="F194" t="s">
        <v>19</v>
      </c>
      <c r="G194" t="s">
        <v>13</v>
      </c>
      <c r="H194">
        <v>3</v>
      </c>
      <c r="I194" s="8">
        <v>776.05597778289723</v>
      </c>
      <c r="J194" s="8">
        <v>2328.1679333486918</v>
      </c>
      <c r="K194" s="8">
        <v>1529.4418547145781</v>
      </c>
      <c r="L194" s="8">
        <v>798.72607863411417</v>
      </c>
      <c r="M194" s="5">
        <f>Tabela2[[#This Row],[Lucro]]/Tabela2[[#This Row],[Receita]]</f>
        <v>0.34307064674895521</v>
      </c>
    </row>
    <row r="195" spans="1:13" x14ac:dyDescent="0.3">
      <c r="A195" s="1">
        <v>45178</v>
      </c>
      <c r="B195" t="str">
        <f>TEXT(Tabela2[[#This Row],[Data]],"mmm")</f>
        <v>set</v>
      </c>
      <c r="C195">
        <f>YEAR(Tabela2[[#This Row],[Data]])</f>
        <v>2023</v>
      </c>
      <c r="D195" t="s">
        <v>14</v>
      </c>
      <c r="E195" t="s">
        <v>15</v>
      </c>
      <c r="F195" t="s">
        <v>19</v>
      </c>
      <c r="G195" t="s">
        <v>13</v>
      </c>
      <c r="H195">
        <v>3</v>
      </c>
      <c r="I195" s="8">
        <v>651.41081598897802</v>
      </c>
      <c r="J195" s="8">
        <v>1954.2324479669339</v>
      </c>
      <c r="K195" s="8">
        <v>1181.528539743844</v>
      </c>
      <c r="L195" s="8">
        <v>772.70390822308991</v>
      </c>
      <c r="M195" s="5">
        <f>Tabela2[[#This Row],[Lucro]]/Tabela2[[#This Row],[Receita]]</f>
        <v>0.39540020381248131</v>
      </c>
    </row>
    <row r="196" spans="1:13" x14ac:dyDescent="0.3">
      <c r="A196" s="1">
        <v>45179</v>
      </c>
      <c r="B196" t="str">
        <f>TEXT(Tabela2[[#This Row],[Data]],"mmm")</f>
        <v>set</v>
      </c>
      <c r="C196">
        <f>YEAR(Tabela2[[#This Row],[Data]])</f>
        <v>2023</v>
      </c>
      <c r="D196" t="s">
        <v>10</v>
      </c>
      <c r="E196" t="s">
        <v>11</v>
      </c>
      <c r="F196" t="s">
        <v>24</v>
      </c>
      <c r="G196" t="s">
        <v>25</v>
      </c>
      <c r="H196">
        <v>7</v>
      </c>
      <c r="I196" s="8">
        <v>434.38728809935662</v>
      </c>
      <c r="J196" s="8">
        <v>3040.7110166954958</v>
      </c>
      <c r="K196" s="8">
        <v>2177.6198460214709</v>
      </c>
      <c r="L196" s="8">
        <v>863.09117067402485</v>
      </c>
      <c r="M196" s="5">
        <f>Tabela2[[#This Row],[Lucro]]/Tabela2[[#This Row],[Receita]]</f>
        <v>0.28384518158256039</v>
      </c>
    </row>
    <row r="197" spans="1:13" x14ac:dyDescent="0.3">
      <c r="A197" s="1">
        <v>45179</v>
      </c>
      <c r="B197" t="str">
        <f>TEXT(Tabela2[[#This Row],[Data]],"mmm")</f>
        <v>set</v>
      </c>
      <c r="C197">
        <f>YEAR(Tabela2[[#This Row],[Data]])</f>
        <v>2023</v>
      </c>
      <c r="D197" t="s">
        <v>23</v>
      </c>
      <c r="E197" t="s">
        <v>15</v>
      </c>
      <c r="F197" t="s">
        <v>24</v>
      </c>
      <c r="G197" t="s">
        <v>22</v>
      </c>
      <c r="H197">
        <v>2</v>
      </c>
      <c r="I197" s="8">
        <v>715.67958884588575</v>
      </c>
      <c r="J197" s="8">
        <v>1431.359177691771</v>
      </c>
      <c r="K197" s="8">
        <v>778.63283595270957</v>
      </c>
      <c r="L197" s="8">
        <v>652.72634173906192</v>
      </c>
      <c r="M197" s="5">
        <f>Tabela2[[#This Row],[Lucro]]/Tabela2[[#This Row],[Receita]]</f>
        <v>0.45601855349239256</v>
      </c>
    </row>
    <row r="198" spans="1:13" x14ac:dyDescent="0.3">
      <c r="A198" s="1">
        <v>45179</v>
      </c>
      <c r="B198" t="str">
        <f>TEXT(Tabela2[[#This Row],[Data]],"mmm")</f>
        <v>set</v>
      </c>
      <c r="C198">
        <f>YEAR(Tabela2[[#This Row],[Data]])</f>
        <v>2023</v>
      </c>
      <c r="D198" t="s">
        <v>10</v>
      </c>
      <c r="E198" t="s">
        <v>11</v>
      </c>
      <c r="F198" t="s">
        <v>21</v>
      </c>
      <c r="G198" t="s">
        <v>22</v>
      </c>
      <c r="H198">
        <v>3</v>
      </c>
      <c r="I198" s="8">
        <v>318.32035318838689</v>
      </c>
      <c r="J198" s="8">
        <v>954.96105956516089</v>
      </c>
      <c r="K198" s="8">
        <v>759.16469233475311</v>
      </c>
      <c r="L198" s="8">
        <v>195.79636723040781</v>
      </c>
      <c r="M198" s="5">
        <f>Tabela2[[#This Row],[Lucro]]/Tabela2[[#This Row],[Receita]]</f>
        <v>0.20503073425796356</v>
      </c>
    </row>
    <row r="199" spans="1:13" x14ac:dyDescent="0.3">
      <c r="A199" s="1">
        <v>45187</v>
      </c>
      <c r="B199" t="str">
        <f>TEXT(Tabela2[[#This Row],[Data]],"mmm")</f>
        <v>set</v>
      </c>
      <c r="C199">
        <f>YEAR(Tabela2[[#This Row],[Data]])</f>
        <v>2023</v>
      </c>
      <c r="D199" t="s">
        <v>18</v>
      </c>
      <c r="E199" t="s">
        <v>15</v>
      </c>
      <c r="F199" t="s">
        <v>19</v>
      </c>
      <c r="G199" t="s">
        <v>20</v>
      </c>
      <c r="H199">
        <v>8</v>
      </c>
      <c r="I199" s="8">
        <v>651.70206776661519</v>
      </c>
      <c r="J199" s="8">
        <v>5213.6165421329206</v>
      </c>
      <c r="K199" s="8">
        <v>3005.0878900592361</v>
      </c>
      <c r="L199" s="8">
        <v>2208.528652073685</v>
      </c>
      <c r="M199" s="5">
        <f>Tabela2[[#This Row],[Lucro]]/Tabela2[[#This Row],[Receita]]</f>
        <v>0.4236078035708708</v>
      </c>
    </row>
    <row r="200" spans="1:13" x14ac:dyDescent="0.3">
      <c r="A200" s="1">
        <v>45189</v>
      </c>
      <c r="B200" t="str">
        <f>TEXT(Tabela2[[#This Row],[Data]],"mmm")</f>
        <v>set</v>
      </c>
      <c r="C200">
        <f>YEAR(Tabela2[[#This Row],[Data]])</f>
        <v>2023</v>
      </c>
      <c r="D200" t="s">
        <v>10</v>
      </c>
      <c r="E200" t="s">
        <v>11</v>
      </c>
      <c r="F200" t="s">
        <v>21</v>
      </c>
      <c r="G200" t="s">
        <v>25</v>
      </c>
      <c r="H200">
        <v>4</v>
      </c>
      <c r="I200" s="8">
        <v>797.4235460053219</v>
      </c>
      <c r="J200" s="8">
        <v>3189.694184021288</v>
      </c>
      <c r="K200" s="8">
        <v>2373.7419623935211</v>
      </c>
      <c r="L200" s="8">
        <v>815.9522216277669</v>
      </c>
      <c r="M200" s="5">
        <f>Tabela2[[#This Row],[Lucro]]/Tabela2[[#This Row],[Receita]]</f>
        <v>0.2558089191481942</v>
      </c>
    </row>
    <row r="201" spans="1:13" x14ac:dyDescent="0.3">
      <c r="A201" s="1">
        <v>45189</v>
      </c>
      <c r="B201" t="str">
        <f>TEXT(Tabela2[[#This Row],[Data]],"mmm")</f>
        <v>set</v>
      </c>
      <c r="C201">
        <f>YEAR(Tabela2[[#This Row],[Data]])</f>
        <v>2023</v>
      </c>
      <c r="D201" t="s">
        <v>10</v>
      </c>
      <c r="E201" t="s">
        <v>11</v>
      </c>
      <c r="F201" t="s">
        <v>24</v>
      </c>
      <c r="G201" t="s">
        <v>17</v>
      </c>
      <c r="H201">
        <v>7</v>
      </c>
      <c r="I201" s="8">
        <v>250.3170655918419</v>
      </c>
      <c r="J201" s="8">
        <v>1752.2194591428929</v>
      </c>
      <c r="K201" s="8">
        <v>1293.1768205970011</v>
      </c>
      <c r="L201" s="8">
        <v>459.0426385458918</v>
      </c>
      <c r="M201" s="5">
        <f>Tabela2[[#This Row],[Lucro]]/Tabela2[[#This Row],[Receita]]</f>
        <v>0.26197782255564883</v>
      </c>
    </row>
    <row r="202" spans="1:13" x14ac:dyDescent="0.3">
      <c r="A202" s="1">
        <v>45190</v>
      </c>
      <c r="B202" t="str">
        <f>TEXT(Tabela2[[#This Row],[Data]],"mmm")</f>
        <v>set</v>
      </c>
      <c r="C202">
        <f>YEAR(Tabela2[[#This Row],[Data]])</f>
        <v>2023</v>
      </c>
      <c r="D202" t="s">
        <v>14</v>
      </c>
      <c r="E202" t="s">
        <v>15</v>
      </c>
      <c r="F202" t="s">
        <v>21</v>
      </c>
      <c r="G202" t="s">
        <v>25</v>
      </c>
      <c r="H202">
        <v>2</v>
      </c>
      <c r="I202" s="8">
        <v>536.76738179610595</v>
      </c>
      <c r="J202" s="8">
        <v>1073.5347635922119</v>
      </c>
      <c r="K202" s="8">
        <v>637.15718470972195</v>
      </c>
      <c r="L202" s="8">
        <v>436.37757888249001</v>
      </c>
      <c r="M202" s="5">
        <f>Tabela2[[#This Row],[Lucro]]/Tabela2[[#This Row],[Receita]]</f>
        <v>0.40648667717317671</v>
      </c>
    </row>
    <row r="203" spans="1:13" x14ac:dyDescent="0.3">
      <c r="A203" s="1">
        <v>45190</v>
      </c>
      <c r="B203" t="str">
        <f>TEXT(Tabela2[[#This Row],[Data]],"mmm")</f>
        <v>set</v>
      </c>
      <c r="C203">
        <f>YEAR(Tabela2[[#This Row],[Data]])</f>
        <v>2023</v>
      </c>
      <c r="D203" t="s">
        <v>23</v>
      </c>
      <c r="E203" t="s">
        <v>15</v>
      </c>
      <c r="F203" t="s">
        <v>12</v>
      </c>
      <c r="G203" t="s">
        <v>20</v>
      </c>
      <c r="H203">
        <v>1</v>
      </c>
      <c r="I203" s="8">
        <v>673.729925925526</v>
      </c>
      <c r="J203" s="8">
        <v>673.729925925526</v>
      </c>
      <c r="K203" s="8">
        <v>527.78942339709272</v>
      </c>
      <c r="L203" s="8">
        <v>145.94050252843331</v>
      </c>
      <c r="M203" s="5">
        <f>Tabela2[[#This Row],[Lucro]]/Tabela2[[#This Row],[Receita]]</f>
        <v>0.21661573415779301</v>
      </c>
    </row>
    <row r="204" spans="1:13" x14ac:dyDescent="0.3">
      <c r="A204" s="1">
        <v>45192</v>
      </c>
      <c r="B204" t="str">
        <f>TEXT(Tabela2[[#This Row],[Data]],"mmm")</f>
        <v>set</v>
      </c>
      <c r="C204">
        <f>YEAR(Tabela2[[#This Row],[Data]])</f>
        <v>2023</v>
      </c>
      <c r="D204" t="s">
        <v>26</v>
      </c>
      <c r="E204" t="s">
        <v>11</v>
      </c>
      <c r="F204" t="s">
        <v>19</v>
      </c>
      <c r="G204" t="s">
        <v>17</v>
      </c>
      <c r="H204">
        <v>1</v>
      </c>
      <c r="I204" s="8">
        <v>1231.946871553097</v>
      </c>
      <c r="J204" s="8">
        <v>1231.946871553097</v>
      </c>
      <c r="K204" s="8">
        <v>656.80290719449567</v>
      </c>
      <c r="L204" s="8">
        <v>575.1439643586009</v>
      </c>
      <c r="M204" s="5">
        <f>Tabela2[[#This Row],[Lucro]]/Tabela2[[#This Row],[Receita]]</f>
        <v>0.46685776606058138</v>
      </c>
    </row>
    <row r="205" spans="1:13" x14ac:dyDescent="0.3">
      <c r="A205" s="1">
        <v>45192</v>
      </c>
      <c r="B205" t="str">
        <f>TEXT(Tabela2[[#This Row],[Data]],"mmm")</f>
        <v>set</v>
      </c>
      <c r="C205">
        <f>YEAR(Tabela2[[#This Row],[Data]])</f>
        <v>2023</v>
      </c>
      <c r="D205" t="s">
        <v>26</v>
      </c>
      <c r="E205" t="s">
        <v>11</v>
      </c>
      <c r="F205" t="s">
        <v>24</v>
      </c>
      <c r="G205" t="s">
        <v>13</v>
      </c>
      <c r="H205">
        <v>2</v>
      </c>
      <c r="I205" s="8">
        <v>336.01377693201488</v>
      </c>
      <c r="J205" s="8">
        <v>672.02755386402976</v>
      </c>
      <c r="K205" s="8">
        <v>476.13862434175678</v>
      </c>
      <c r="L205" s="8">
        <v>195.888929522273</v>
      </c>
      <c r="M205" s="5">
        <f>Tabela2[[#This Row],[Lucro]]/Tabela2[[#This Row],[Receita]]</f>
        <v>0.29148943134243405</v>
      </c>
    </row>
    <row r="206" spans="1:13" x14ac:dyDescent="0.3">
      <c r="A206" s="1">
        <v>45193</v>
      </c>
      <c r="B206" t="str">
        <f>TEXT(Tabela2[[#This Row],[Data]],"mmm")</f>
        <v>set</v>
      </c>
      <c r="C206">
        <f>YEAR(Tabela2[[#This Row],[Data]])</f>
        <v>2023</v>
      </c>
      <c r="D206" t="s">
        <v>14</v>
      </c>
      <c r="E206" t="s">
        <v>15</v>
      </c>
      <c r="F206" t="s">
        <v>24</v>
      </c>
      <c r="G206" t="s">
        <v>20</v>
      </c>
      <c r="H206">
        <v>9</v>
      </c>
      <c r="I206" s="8">
        <v>316.23290853979933</v>
      </c>
      <c r="J206" s="8">
        <v>2846.0961768581928</v>
      </c>
      <c r="K206" s="8">
        <v>2160.1872682489179</v>
      </c>
      <c r="L206" s="8">
        <v>685.90890860927539</v>
      </c>
      <c r="M206" s="5">
        <f>Tabela2[[#This Row],[Lucro]]/Tabela2[[#This Row],[Receita]]</f>
        <v>0.24099990512845235</v>
      </c>
    </row>
    <row r="207" spans="1:13" x14ac:dyDescent="0.3">
      <c r="A207" s="1">
        <v>45194</v>
      </c>
      <c r="B207" t="str">
        <f>TEXT(Tabela2[[#This Row],[Data]],"mmm")</f>
        <v>set</v>
      </c>
      <c r="C207">
        <f>YEAR(Tabela2[[#This Row],[Data]])</f>
        <v>2023</v>
      </c>
      <c r="D207" t="s">
        <v>14</v>
      </c>
      <c r="E207" t="s">
        <v>15</v>
      </c>
      <c r="F207" t="s">
        <v>12</v>
      </c>
      <c r="G207" t="s">
        <v>20</v>
      </c>
      <c r="H207">
        <v>8</v>
      </c>
      <c r="I207" s="8">
        <v>672.07848974934336</v>
      </c>
      <c r="J207" s="8">
        <v>5376.6279179947469</v>
      </c>
      <c r="K207" s="8">
        <v>3068.643865564432</v>
      </c>
      <c r="L207" s="8">
        <v>2307.9840524303149</v>
      </c>
      <c r="M207" s="5">
        <f>Tabela2[[#This Row],[Lucro]]/Tabela2[[#This Row],[Receita]]</f>
        <v>0.42926237181223703</v>
      </c>
    </row>
    <row r="208" spans="1:13" x14ac:dyDescent="0.3">
      <c r="A208" s="1">
        <v>45194</v>
      </c>
      <c r="B208" t="str">
        <f>TEXT(Tabela2[[#This Row],[Data]],"mmm")</f>
        <v>set</v>
      </c>
      <c r="C208">
        <f>YEAR(Tabela2[[#This Row],[Data]])</f>
        <v>2023</v>
      </c>
      <c r="D208" t="s">
        <v>18</v>
      </c>
      <c r="E208" t="s">
        <v>15</v>
      </c>
      <c r="F208" t="s">
        <v>16</v>
      </c>
      <c r="G208" t="s">
        <v>22</v>
      </c>
      <c r="H208">
        <v>5</v>
      </c>
      <c r="I208" s="8">
        <v>242.1755856144247</v>
      </c>
      <c r="J208" s="8">
        <v>1210.877928072124</v>
      </c>
      <c r="K208" s="8">
        <v>618.83864115173049</v>
      </c>
      <c r="L208" s="8">
        <v>592.03928692039324</v>
      </c>
      <c r="M208" s="5">
        <f>Tabela2[[#This Row],[Lucro]]/Tabela2[[#This Row],[Receita]]</f>
        <v>0.48893391579364009</v>
      </c>
    </row>
    <row r="209" spans="1:13" x14ac:dyDescent="0.3">
      <c r="A209" s="1">
        <v>45195</v>
      </c>
      <c r="B209" t="str">
        <f>TEXT(Tabela2[[#This Row],[Data]],"mmm")</f>
        <v>set</v>
      </c>
      <c r="C209">
        <f>YEAR(Tabela2[[#This Row],[Data]])</f>
        <v>2023</v>
      </c>
      <c r="D209" t="s">
        <v>14</v>
      </c>
      <c r="E209" t="s">
        <v>15</v>
      </c>
      <c r="F209" t="s">
        <v>12</v>
      </c>
      <c r="G209" t="s">
        <v>22</v>
      </c>
      <c r="H209">
        <v>5</v>
      </c>
      <c r="I209" s="8">
        <v>550.50980197303431</v>
      </c>
      <c r="J209" s="8">
        <v>2752.5490098651721</v>
      </c>
      <c r="K209" s="8">
        <v>1887.1019459118461</v>
      </c>
      <c r="L209" s="8">
        <v>865.44706395332537</v>
      </c>
      <c r="M209" s="5">
        <f>Tabela2[[#This Row],[Lucro]]/Tabela2[[#This Row],[Receita]]</f>
        <v>0.31441658653544463</v>
      </c>
    </row>
    <row r="210" spans="1:13" x14ac:dyDescent="0.3">
      <c r="A210" s="1">
        <v>45196</v>
      </c>
      <c r="B210" t="str">
        <f>TEXT(Tabela2[[#This Row],[Data]],"mmm")</f>
        <v>set</v>
      </c>
      <c r="C210">
        <f>YEAR(Tabela2[[#This Row],[Data]])</f>
        <v>2023</v>
      </c>
      <c r="D210" t="s">
        <v>23</v>
      </c>
      <c r="E210" t="s">
        <v>15</v>
      </c>
      <c r="F210" t="s">
        <v>21</v>
      </c>
      <c r="G210" t="s">
        <v>13</v>
      </c>
      <c r="H210">
        <v>8</v>
      </c>
      <c r="I210" s="8">
        <v>777.42543122898689</v>
      </c>
      <c r="J210" s="8">
        <v>6219.4034498318952</v>
      </c>
      <c r="K210" s="8">
        <v>4871.5340029017707</v>
      </c>
      <c r="L210" s="8">
        <v>1347.869446930124</v>
      </c>
      <c r="M210" s="5">
        <f>Tabela2[[#This Row],[Lucro]]/Tabela2[[#This Row],[Receita]]</f>
        <v>0.21672005326596969</v>
      </c>
    </row>
    <row r="211" spans="1:13" x14ac:dyDescent="0.3">
      <c r="A211" s="1">
        <v>45196</v>
      </c>
      <c r="B211" t="str">
        <f>TEXT(Tabela2[[#This Row],[Data]],"mmm")</f>
        <v>set</v>
      </c>
      <c r="C211">
        <f>YEAR(Tabela2[[#This Row],[Data]])</f>
        <v>2023</v>
      </c>
      <c r="D211" t="s">
        <v>10</v>
      </c>
      <c r="E211" t="s">
        <v>11</v>
      </c>
      <c r="F211" t="s">
        <v>21</v>
      </c>
      <c r="G211" t="s">
        <v>17</v>
      </c>
      <c r="H211">
        <v>2</v>
      </c>
      <c r="I211" s="8">
        <v>440.95986326348219</v>
      </c>
      <c r="J211" s="8">
        <v>881.91972652696438</v>
      </c>
      <c r="K211" s="8">
        <v>596.20009153197384</v>
      </c>
      <c r="L211" s="8">
        <v>285.71963499499049</v>
      </c>
      <c r="M211" s="5">
        <f>Tabela2[[#This Row],[Lucro]]/Tabela2[[#This Row],[Receita]]</f>
        <v>0.32397465030084538</v>
      </c>
    </row>
    <row r="212" spans="1:13" x14ac:dyDescent="0.3">
      <c r="A212" s="1">
        <v>45197</v>
      </c>
      <c r="B212" t="str">
        <f>TEXT(Tabela2[[#This Row],[Data]],"mmm")</f>
        <v>set</v>
      </c>
      <c r="C212">
        <f>YEAR(Tabela2[[#This Row],[Data]])</f>
        <v>2023</v>
      </c>
      <c r="D212" t="s">
        <v>10</v>
      </c>
      <c r="E212" t="s">
        <v>11</v>
      </c>
      <c r="F212" t="s">
        <v>16</v>
      </c>
      <c r="G212" t="s">
        <v>25</v>
      </c>
      <c r="H212">
        <v>9</v>
      </c>
      <c r="I212" s="8">
        <v>697.52607100537637</v>
      </c>
      <c r="J212" s="8">
        <v>6277.7346390483872</v>
      </c>
      <c r="K212" s="8">
        <v>4601.4480085281984</v>
      </c>
      <c r="L212" s="8">
        <v>1676.2866305201901</v>
      </c>
      <c r="M212" s="5">
        <f>Tabela2[[#This Row],[Lucro]]/Tabela2[[#This Row],[Receita]]</f>
        <v>0.26702094416247746</v>
      </c>
    </row>
    <row r="213" spans="1:13" x14ac:dyDescent="0.3">
      <c r="A213" s="1">
        <v>45200</v>
      </c>
      <c r="B213" t="str">
        <f>TEXT(Tabela2[[#This Row],[Data]],"mmm")</f>
        <v>out</v>
      </c>
      <c r="C213">
        <f>YEAR(Tabela2[[#This Row],[Data]])</f>
        <v>2023</v>
      </c>
      <c r="D213" t="s">
        <v>18</v>
      </c>
      <c r="E213" t="s">
        <v>15</v>
      </c>
      <c r="F213" t="s">
        <v>16</v>
      </c>
      <c r="G213" t="s">
        <v>13</v>
      </c>
      <c r="H213">
        <v>9</v>
      </c>
      <c r="I213" s="8">
        <v>595.17606075317894</v>
      </c>
      <c r="J213" s="8">
        <v>5356.5845467786103</v>
      </c>
      <c r="K213" s="8">
        <v>2971.2179753606611</v>
      </c>
      <c r="L213" s="8">
        <v>2385.3665714179492</v>
      </c>
      <c r="M213" s="5">
        <f>Tabela2[[#This Row],[Lucro]]/Tabela2[[#This Row],[Receita]]</f>
        <v>0.44531483645721259</v>
      </c>
    </row>
    <row r="214" spans="1:13" x14ac:dyDescent="0.3">
      <c r="A214" s="1">
        <v>45202</v>
      </c>
      <c r="B214" t="str">
        <f>TEXT(Tabela2[[#This Row],[Data]],"mmm")</f>
        <v>out</v>
      </c>
      <c r="C214">
        <f>YEAR(Tabela2[[#This Row],[Data]])</f>
        <v>2023</v>
      </c>
      <c r="D214" t="s">
        <v>23</v>
      </c>
      <c r="E214" t="s">
        <v>15</v>
      </c>
      <c r="F214" t="s">
        <v>24</v>
      </c>
      <c r="G214" t="s">
        <v>13</v>
      </c>
      <c r="H214">
        <v>2</v>
      </c>
      <c r="I214" s="8">
        <v>272.04191251481723</v>
      </c>
      <c r="J214" s="8">
        <v>544.08382502963445</v>
      </c>
      <c r="K214" s="8">
        <v>430.87593598416862</v>
      </c>
      <c r="L214" s="8">
        <v>113.2078890454659</v>
      </c>
      <c r="M214" s="5">
        <f>Tabela2[[#This Row],[Lucro]]/Tabela2[[#This Row],[Receita]]</f>
        <v>0.20807067557889602</v>
      </c>
    </row>
    <row r="215" spans="1:13" x14ac:dyDescent="0.3">
      <c r="A215" s="1">
        <v>45203</v>
      </c>
      <c r="B215" t="str">
        <f>TEXT(Tabela2[[#This Row],[Data]],"mmm")</f>
        <v>out</v>
      </c>
      <c r="C215">
        <f>YEAR(Tabela2[[#This Row],[Data]])</f>
        <v>2023</v>
      </c>
      <c r="D215" t="s">
        <v>10</v>
      </c>
      <c r="E215" t="s">
        <v>11</v>
      </c>
      <c r="F215" t="s">
        <v>16</v>
      </c>
      <c r="G215" t="s">
        <v>20</v>
      </c>
      <c r="H215">
        <v>8</v>
      </c>
      <c r="I215" s="8">
        <v>718.19183775109843</v>
      </c>
      <c r="J215" s="8">
        <v>5745.5347020087866</v>
      </c>
      <c r="K215" s="8">
        <v>3970.1696767869721</v>
      </c>
      <c r="L215" s="8">
        <v>1775.3650252218149</v>
      </c>
      <c r="M215" s="5">
        <f>Tabela2[[#This Row],[Lucro]]/Tabela2[[#This Row],[Receita]]</f>
        <v>0.30899909534983777</v>
      </c>
    </row>
    <row r="216" spans="1:13" x14ac:dyDescent="0.3">
      <c r="A216" s="1">
        <v>45203</v>
      </c>
      <c r="B216" t="str">
        <f>TEXT(Tabela2[[#This Row],[Data]],"mmm")</f>
        <v>out</v>
      </c>
      <c r="C216">
        <f>YEAR(Tabela2[[#This Row],[Data]])</f>
        <v>2023</v>
      </c>
      <c r="D216" t="s">
        <v>10</v>
      </c>
      <c r="E216" t="s">
        <v>11</v>
      </c>
      <c r="F216" t="s">
        <v>16</v>
      </c>
      <c r="G216" t="s">
        <v>22</v>
      </c>
      <c r="H216">
        <v>1</v>
      </c>
      <c r="I216" s="8">
        <v>443.18137983282139</v>
      </c>
      <c r="J216" s="8">
        <v>443.18137983282139</v>
      </c>
      <c r="K216" s="8">
        <v>289.23976731194023</v>
      </c>
      <c r="L216" s="8">
        <v>153.94161252088119</v>
      </c>
      <c r="M216" s="5">
        <f>Tabela2[[#This Row],[Lucro]]/Tabela2[[#This Row],[Receita]]</f>
        <v>0.34735577694837189</v>
      </c>
    </row>
    <row r="217" spans="1:13" x14ac:dyDescent="0.3">
      <c r="A217" s="1">
        <v>45205</v>
      </c>
      <c r="B217" t="str">
        <f>TEXT(Tabela2[[#This Row],[Data]],"mmm")</f>
        <v>out</v>
      </c>
      <c r="C217">
        <f>YEAR(Tabela2[[#This Row],[Data]])</f>
        <v>2023</v>
      </c>
      <c r="D217" t="s">
        <v>14</v>
      </c>
      <c r="E217" t="s">
        <v>15</v>
      </c>
      <c r="F217" t="s">
        <v>12</v>
      </c>
      <c r="G217" t="s">
        <v>13</v>
      </c>
      <c r="H217">
        <v>1</v>
      </c>
      <c r="I217" s="8">
        <v>113.7630631890746</v>
      </c>
      <c r="J217" s="8">
        <v>113.7630631890746</v>
      </c>
      <c r="K217" s="8">
        <v>75.464355891661995</v>
      </c>
      <c r="L217" s="8">
        <v>38.298707297412591</v>
      </c>
      <c r="M217" s="5">
        <f>Tabela2[[#This Row],[Lucro]]/Tabela2[[#This Row],[Receita]]</f>
        <v>0.3366532706117451</v>
      </c>
    </row>
    <row r="218" spans="1:13" x14ac:dyDescent="0.3">
      <c r="A218" s="1">
        <v>45206</v>
      </c>
      <c r="B218" t="str">
        <f>TEXT(Tabela2[[#This Row],[Data]],"mmm")</f>
        <v>out</v>
      </c>
      <c r="C218">
        <f>YEAR(Tabela2[[#This Row],[Data]])</f>
        <v>2023</v>
      </c>
      <c r="D218" t="s">
        <v>26</v>
      </c>
      <c r="E218" t="s">
        <v>11</v>
      </c>
      <c r="F218" t="s">
        <v>24</v>
      </c>
      <c r="G218" t="s">
        <v>13</v>
      </c>
      <c r="H218">
        <v>7</v>
      </c>
      <c r="I218" s="8">
        <v>4009.2835169392101</v>
      </c>
      <c r="J218" s="8">
        <v>28064.984618574468</v>
      </c>
      <c r="K218" s="8">
        <v>17612.575448048989</v>
      </c>
      <c r="L218" s="8">
        <v>10452.40917052548</v>
      </c>
      <c r="M218" s="5">
        <f>Tabela2[[#This Row],[Lucro]]/Tabela2[[#This Row],[Receita]]</f>
        <v>0.37243594865922997</v>
      </c>
    </row>
    <row r="219" spans="1:13" x14ac:dyDescent="0.3">
      <c r="A219" s="1">
        <v>45206</v>
      </c>
      <c r="B219" t="str">
        <f>TEXT(Tabela2[[#This Row],[Data]],"mmm")</f>
        <v>out</v>
      </c>
      <c r="C219">
        <f>YEAR(Tabela2[[#This Row],[Data]])</f>
        <v>2023</v>
      </c>
      <c r="D219" t="s">
        <v>10</v>
      </c>
      <c r="E219" t="s">
        <v>11</v>
      </c>
      <c r="F219" t="s">
        <v>16</v>
      </c>
      <c r="G219" t="s">
        <v>25</v>
      </c>
      <c r="H219">
        <v>6</v>
      </c>
      <c r="I219" s="8">
        <v>471.14179526499908</v>
      </c>
      <c r="J219" s="8">
        <v>2826.850771589995</v>
      </c>
      <c r="K219" s="8">
        <v>1645.9287733362621</v>
      </c>
      <c r="L219" s="8">
        <v>1180.9219982537329</v>
      </c>
      <c r="M219" s="5">
        <f>Tabela2[[#This Row],[Lucro]]/Tabela2[[#This Row],[Receita]]</f>
        <v>0.41775180003205814</v>
      </c>
    </row>
    <row r="220" spans="1:13" x14ac:dyDescent="0.3">
      <c r="A220" s="1">
        <v>45206</v>
      </c>
      <c r="B220" t="str">
        <f>TEXT(Tabela2[[#This Row],[Data]],"mmm")</f>
        <v>out</v>
      </c>
      <c r="C220">
        <f>YEAR(Tabela2[[#This Row],[Data]])</f>
        <v>2023</v>
      </c>
      <c r="D220" t="s">
        <v>18</v>
      </c>
      <c r="E220" t="s">
        <v>15</v>
      </c>
      <c r="F220" t="s">
        <v>24</v>
      </c>
      <c r="G220" t="s">
        <v>13</v>
      </c>
      <c r="H220">
        <v>2</v>
      </c>
      <c r="I220" s="8">
        <v>271.58959610610839</v>
      </c>
      <c r="J220" s="8">
        <v>543.17919221221678</v>
      </c>
      <c r="K220" s="8">
        <v>409.88352820473608</v>
      </c>
      <c r="L220" s="8">
        <v>133.29566400748061</v>
      </c>
      <c r="M220" s="5">
        <f>Tabela2[[#This Row],[Lucro]]/Tabela2[[#This Row],[Receita]]</f>
        <v>0.24539906152259752</v>
      </c>
    </row>
    <row r="221" spans="1:13" x14ac:dyDescent="0.3">
      <c r="A221" s="1">
        <v>45208</v>
      </c>
      <c r="B221" t="str">
        <f>TEXT(Tabela2[[#This Row],[Data]],"mmm")</f>
        <v>out</v>
      </c>
      <c r="C221">
        <f>YEAR(Tabela2[[#This Row],[Data]])</f>
        <v>2023</v>
      </c>
      <c r="D221" t="s">
        <v>10</v>
      </c>
      <c r="E221" t="s">
        <v>11</v>
      </c>
      <c r="F221" t="s">
        <v>24</v>
      </c>
      <c r="G221" t="s">
        <v>25</v>
      </c>
      <c r="H221">
        <v>2</v>
      </c>
      <c r="I221" s="8">
        <v>161.162023113402</v>
      </c>
      <c r="J221" s="8">
        <v>322.32404622680411</v>
      </c>
      <c r="K221" s="8">
        <v>243.77868121262659</v>
      </c>
      <c r="L221" s="8">
        <v>78.545365014177463</v>
      </c>
      <c r="M221" s="5">
        <f>Tabela2[[#This Row],[Lucro]]/Tabela2[[#This Row],[Receita]]</f>
        <v>0.24368447198912618</v>
      </c>
    </row>
    <row r="222" spans="1:13" x14ac:dyDescent="0.3">
      <c r="A222" s="1">
        <v>45210</v>
      </c>
      <c r="B222" t="str">
        <f>TEXT(Tabela2[[#This Row],[Data]],"mmm")</f>
        <v>out</v>
      </c>
      <c r="C222">
        <f>YEAR(Tabela2[[#This Row],[Data]])</f>
        <v>2023</v>
      </c>
      <c r="D222" t="s">
        <v>23</v>
      </c>
      <c r="E222" t="s">
        <v>15</v>
      </c>
      <c r="F222" t="s">
        <v>12</v>
      </c>
      <c r="G222" t="s">
        <v>22</v>
      </c>
      <c r="H222">
        <v>2</v>
      </c>
      <c r="I222" s="8">
        <v>406.21429107089989</v>
      </c>
      <c r="J222" s="8">
        <v>812.42858214179989</v>
      </c>
      <c r="K222" s="8">
        <v>523.34697255506069</v>
      </c>
      <c r="L222" s="8">
        <v>289.08160958673921</v>
      </c>
      <c r="M222" s="5">
        <f>Tabela2[[#This Row],[Lucro]]/Tabela2[[#This Row],[Receita]]</f>
        <v>0.35582402680200559</v>
      </c>
    </row>
    <row r="223" spans="1:13" x14ac:dyDescent="0.3">
      <c r="A223" s="1">
        <v>45210</v>
      </c>
      <c r="B223" t="str">
        <f>TEXT(Tabela2[[#This Row],[Data]],"mmm")</f>
        <v>out</v>
      </c>
      <c r="C223">
        <f>YEAR(Tabela2[[#This Row],[Data]])</f>
        <v>2023</v>
      </c>
      <c r="D223" t="s">
        <v>10</v>
      </c>
      <c r="E223" t="s">
        <v>11</v>
      </c>
      <c r="F223" t="s">
        <v>16</v>
      </c>
      <c r="G223" t="s">
        <v>20</v>
      </c>
      <c r="H223">
        <v>5</v>
      </c>
      <c r="I223" s="8">
        <v>91.529234861615251</v>
      </c>
      <c r="J223" s="8">
        <v>457.64617430807618</v>
      </c>
      <c r="K223" s="8">
        <v>311.53452264961692</v>
      </c>
      <c r="L223" s="8">
        <v>146.11165165845941</v>
      </c>
      <c r="M223" s="5">
        <f>Tabela2[[#This Row],[Lucro]]/Tabela2[[#This Row],[Receita]]</f>
        <v>0.31926772222966432</v>
      </c>
    </row>
    <row r="224" spans="1:13" x14ac:dyDescent="0.3">
      <c r="A224" s="1">
        <v>45211</v>
      </c>
      <c r="B224" t="str">
        <f>TEXT(Tabela2[[#This Row],[Data]],"mmm")</f>
        <v>out</v>
      </c>
      <c r="C224">
        <f>YEAR(Tabela2[[#This Row],[Data]])</f>
        <v>2023</v>
      </c>
      <c r="D224" t="s">
        <v>23</v>
      </c>
      <c r="E224" t="s">
        <v>15</v>
      </c>
      <c r="F224" t="s">
        <v>19</v>
      </c>
      <c r="G224" t="s">
        <v>20</v>
      </c>
      <c r="H224">
        <v>3</v>
      </c>
      <c r="I224" s="8">
        <v>502.23802978355639</v>
      </c>
      <c r="J224" s="8">
        <v>1506.7140893506689</v>
      </c>
      <c r="K224" s="8">
        <v>905.48433789629382</v>
      </c>
      <c r="L224" s="8">
        <v>601.22975145437556</v>
      </c>
      <c r="M224" s="5">
        <f>Tabela2[[#This Row],[Lucro]]/Tabela2[[#This Row],[Receita]]</f>
        <v>0.39903373553338217</v>
      </c>
    </row>
    <row r="225" spans="1:13" x14ac:dyDescent="0.3">
      <c r="A225" s="1">
        <v>45211</v>
      </c>
      <c r="B225" t="str">
        <f>TEXT(Tabela2[[#This Row],[Data]],"mmm")</f>
        <v>out</v>
      </c>
      <c r="C225">
        <f>YEAR(Tabela2[[#This Row],[Data]])</f>
        <v>2023</v>
      </c>
      <c r="D225" t="s">
        <v>10</v>
      </c>
      <c r="E225" t="s">
        <v>11</v>
      </c>
      <c r="F225" t="s">
        <v>21</v>
      </c>
      <c r="G225" t="s">
        <v>13</v>
      </c>
      <c r="H225">
        <v>9</v>
      </c>
      <c r="I225" s="8">
        <v>147.62658052950201</v>
      </c>
      <c r="J225" s="8">
        <v>1328.6392247655181</v>
      </c>
      <c r="K225" s="8">
        <v>981.12415518896</v>
      </c>
      <c r="L225" s="8">
        <v>347.51506957655761</v>
      </c>
      <c r="M225" s="5">
        <f>Tabela2[[#This Row],[Lucro]]/Tabela2[[#This Row],[Receita]]</f>
        <v>0.26155713537502101</v>
      </c>
    </row>
    <row r="226" spans="1:13" x14ac:dyDescent="0.3">
      <c r="A226" s="1">
        <v>45212</v>
      </c>
      <c r="B226" t="str">
        <f>TEXT(Tabela2[[#This Row],[Data]],"mmm")</f>
        <v>out</v>
      </c>
      <c r="C226">
        <f>YEAR(Tabela2[[#This Row],[Data]])</f>
        <v>2023</v>
      </c>
      <c r="D226" t="s">
        <v>10</v>
      </c>
      <c r="E226" t="s">
        <v>11</v>
      </c>
      <c r="F226" t="s">
        <v>19</v>
      </c>
      <c r="G226" t="s">
        <v>20</v>
      </c>
      <c r="H226">
        <v>4</v>
      </c>
      <c r="I226" s="8">
        <v>770.09927404475434</v>
      </c>
      <c r="J226" s="8">
        <v>3080.3970961790169</v>
      </c>
      <c r="K226" s="8">
        <v>2126.9772722780031</v>
      </c>
      <c r="L226" s="8">
        <v>953.4198239010143</v>
      </c>
      <c r="M226" s="5">
        <f>Tabela2[[#This Row],[Lucro]]/Tabela2[[#This Row],[Receita]]</f>
        <v>0.30951198632269011</v>
      </c>
    </row>
    <row r="227" spans="1:13" x14ac:dyDescent="0.3">
      <c r="A227" s="1">
        <v>45214</v>
      </c>
      <c r="B227" t="str">
        <f>TEXT(Tabela2[[#This Row],[Data]],"mmm")</f>
        <v>out</v>
      </c>
      <c r="C227">
        <f>YEAR(Tabela2[[#This Row],[Data]])</f>
        <v>2023</v>
      </c>
      <c r="D227" t="s">
        <v>18</v>
      </c>
      <c r="E227" t="s">
        <v>15</v>
      </c>
      <c r="F227" t="s">
        <v>19</v>
      </c>
      <c r="G227" t="s">
        <v>20</v>
      </c>
      <c r="H227">
        <v>2</v>
      </c>
      <c r="I227" s="8">
        <v>391.44434349543099</v>
      </c>
      <c r="J227" s="8">
        <v>782.88868699086208</v>
      </c>
      <c r="K227" s="8">
        <v>586.70574377243156</v>
      </c>
      <c r="L227" s="8">
        <v>196.18294321843049</v>
      </c>
      <c r="M227" s="5">
        <f>Tabela2[[#This Row],[Lucro]]/Tabela2[[#This Row],[Receita]]</f>
        <v>0.25058855298124949</v>
      </c>
    </row>
    <row r="228" spans="1:13" x14ac:dyDescent="0.3">
      <c r="A228" s="1">
        <v>45215</v>
      </c>
      <c r="B228" t="str">
        <f>TEXT(Tabela2[[#This Row],[Data]],"mmm")</f>
        <v>out</v>
      </c>
      <c r="C228">
        <f>YEAR(Tabela2[[#This Row],[Data]])</f>
        <v>2023</v>
      </c>
      <c r="D228" t="s">
        <v>10</v>
      </c>
      <c r="E228" t="s">
        <v>11</v>
      </c>
      <c r="F228" t="s">
        <v>21</v>
      </c>
      <c r="G228" t="s">
        <v>13</v>
      </c>
      <c r="H228">
        <v>6</v>
      </c>
      <c r="I228" s="8">
        <v>604.34607849900078</v>
      </c>
      <c r="J228" s="8">
        <v>3626.0764709940049</v>
      </c>
      <c r="K228" s="8">
        <v>1971.7756152742479</v>
      </c>
      <c r="L228" s="8">
        <v>1654.300855719757</v>
      </c>
      <c r="M228" s="5">
        <f>Tabela2[[#This Row],[Lucro]]/Tabela2[[#This Row],[Receita]]</f>
        <v>0.45622337778945649</v>
      </c>
    </row>
    <row r="229" spans="1:13" x14ac:dyDescent="0.3">
      <c r="A229" s="1">
        <v>45215</v>
      </c>
      <c r="B229" t="str">
        <f>TEXT(Tabela2[[#This Row],[Data]],"mmm")</f>
        <v>out</v>
      </c>
      <c r="C229">
        <f>YEAR(Tabela2[[#This Row],[Data]])</f>
        <v>2023</v>
      </c>
      <c r="D229" t="s">
        <v>10</v>
      </c>
      <c r="E229" t="s">
        <v>11</v>
      </c>
      <c r="F229" t="s">
        <v>24</v>
      </c>
      <c r="G229" t="s">
        <v>20</v>
      </c>
      <c r="H229">
        <v>5</v>
      </c>
      <c r="I229" s="8">
        <v>703.87719667416457</v>
      </c>
      <c r="J229" s="8">
        <v>3519.3859833708229</v>
      </c>
      <c r="K229" s="8">
        <v>2120.8683051647349</v>
      </c>
      <c r="L229" s="8">
        <v>1398.517678206088</v>
      </c>
      <c r="M229" s="5">
        <f>Tabela2[[#This Row],[Lucro]]/Tabela2[[#This Row],[Receita]]</f>
        <v>0.39737547538522777</v>
      </c>
    </row>
    <row r="230" spans="1:13" x14ac:dyDescent="0.3">
      <c r="A230" s="1">
        <v>45215</v>
      </c>
      <c r="B230" t="str">
        <f>TEXT(Tabela2[[#This Row],[Data]],"mmm")</f>
        <v>out</v>
      </c>
      <c r="C230">
        <f>YEAR(Tabela2[[#This Row],[Data]])</f>
        <v>2023</v>
      </c>
      <c r="D230" t="s">
        <v>10</v>
      </c>
      <c r="E230" t="s">
        <v>11</v>
      </c>
      <c r="F230" t="s">
        <v>21</v>
      </c>
      <c r="G230" t="s">
        <v>17</v>
      </c>
      <c r="H230">
        <v>4</v>
      </c>
      <c r="I230" s="8">
        <v>412.00153964148512</v>
      </c>
      <c r="J230" s="8">
        <v>1648.00615856594</v>
      </c>
      <c r="K230" s="8">
        <v>1021.102816771365</v>
      </c>
      <c r="L230" s="8">
        <v>626.90334179457511</v>
      </c>
      <c r="M230" s="5">
        <f>Tabela2[[#This Row],[Lucro]]/Tabela2[[#This Row],[Receita]]</f>
        <v>0.38040109166830605</v>
      </c>
    </row>
    <row r="231" spans="1:13" x14ac:dyDescent="0.3">
      <c r="A231" s="1">
        <v>45218</v>
      </c>
      <c r="B231" t="str">
        <f>TEXT(Tabela2[[#This Row],[Data]],"mmm")</f>
        <v>out</v>
      </c>
      <c r="C231">
        <f>YEAR(Tabela2[[#This Row],[Data]])</f>
        <v>2023</v>
      </c>
      <c r="D231" t="s">
        <v>26</v>
      </c>
      <c r="E231" t="s">
        <v>11</v>
      </c>
      <c r="F231" t="s">
        <v>24</v>
      </c>
      <c r="G231" t="s">
        <v>17</v>
      </c>
      <c r="H231">
        <v>2</v>
      </c>
      <c r="I231" s="8">
        <v>1935.5021512793869</v>
      </c>
      <c r="J231" s="8">
        <v>3871.0043025587729</v>
      </c>
      <c r="K231" s="8">
        <v>2337.6860681627259</v>
      </c>
      <c r="L231" s="8">
        <v>1533.318234396048</v>
      </c>
      <c r="M231" s="5">
        <f>Tabela2[[#This Row],[Lucro]]/Tabela2[[#This Row],[Receita]]</f>
        <v>0.39610346942329905</v>
      </c>
    </row>
    <row r="232" spans="1:13" x14ac:dyDescent="0.3">
      <c r="A232" s="1">
        <v>45218</v>
      </c>
      <c r="B232" t="str">
        <f>TEXT(Tabela2[[#This Row],[Data]],"mmm")</f>
        <v>out</v>
      </c>
      <c r="C232">
        <f>YEAR(Tabela2[[#This Row],[Data]])</f>
        <v>2023</v>
      </c>
      <c r="D232" t="s">
        <v>14</v>
      </c>
      <c r="E232" t="s">
        <v>15</v>
      </c>
      <c r="F232" t="s">
        <v>24</v>
      </c>
      <c r="G232" t="s">
        <v>17</v>
      </c>
      <c r="H232">
        <v>5</v>
      </c>
      <c r="I232" s="8">
        <v>672.92161274836292</v>
      </c>
      <c r="J232" s="8">
        <v>3364.608063741814</v>
      </c>
      <c r="K232" s="8">
        <v>2123.5993599103831</v>
      </c>
      <c r="L232" s="8">
        <v>1241.0087038314309</v>
      </c>
      <c r="M232" s="5">
        <f>Tabela2[[#This Row],[Lucro]]/Tabela2[[#This Row],[Receita]]</f>
        <v>0.36884198109282684</v>
      </c>
    </row>
    <row r="233" spans="1:13" x14ac:dyDescent="0.3">
      <c r="A233" s="1">
        <v>45218</v>
      </c>
      <c r="B233" t="str">
        <f>TEXT(Tabela2[[#This Row],[Data]],"mmm")</f>
        <v>out</v>
      </c>
      <c r="C233">
        <f>YEAR(Tabela2[[#This Row],[Data]])</f>
        <v>2023</v>
      </c>
      <c r="D233" t="s">
        <v>18</v>
      </c>
      <c r="E233" t="s">
        <v>15</v>
      </c>
      <c r="F233" t="s">
        <v>16</v>
      </c>
      <c r="G233" t="s">
        <v>13</v>
      </c>
      <c r="H233">
        <v>5</v>
      </c>
      <c r="I233" s="8">
        <v>664.90308569108106</v>
      </c>
      <c r="J233" s="8">
        <v>3324.515428455406</v>
      </c>
      <c r="K233" s="8">
        <v>2618.7953996989449</v>
      </c>
      <c r="L233" s="8">
        <v>705.72002875646012</v>
      </c>
      <c r="M233" s="5">
        <f>Tabela2[[#This Row],[Lucro]]/Tabela2[[#This Row],[Receita]]</f>
        <v>0.21227756163079164</v>
      </c>
    </row>
    <row r="234" spans="1:13" x14ac:dyDescent="0.3">
      <c r="A234" s="1">
        <v>45219</v>
      </c>
      <c r="B234" t="str">
        <f>TEXT(Tabela2[[#This Row],[Data]],"mmm")</f>
        <v>out</v>
      </c>
      <c r="C234">
        <f>YEAR(Tabela2[[#This Row],[Data]])</f>
        <v>2023</v>
      </c>
      <c r="D234" t="s">
        <v>26</v>
      </c>
      <c r="E234" t="s">
        <v>11</v>
      </c>
      <c r="F234" t="s">
        <v>24</v>
      </c>
      <c r="G234" t="s">
        <v>17</v>
      </c>
      <c r="H234">
        <v>3</v>
      </c>
      <c r="I234" s="8">
        <v>4744.8438694626757</v>
      </c>
      <c r="J234" s="8">
        <v>14234.53160838803</v>
      </c>
      <c r="K234" s="8">
        <v>10378.137048188621</v>
      </c>
      <c r="L234" s="8">
        <v>3856.3945601994069</v>
      </c>
      <c r="M234" s="5">
        <f>Tabela2[[#This Row],[Lucro]]/Tabela2[[#This Row],[Receita]]</f>
        <v>0.27091826175207173</v>
      </c>
    </row>
    <row r="235" spans="1:13" x14ac:dyDescent="0.3">
      <c r="A235" s="1">
        <v>45219</v>
      </c>
      <c r="B235" t="str">
        <f>TEXT(Tabela2[[#This Row],[Data]],"mmm")</f>
        <v>out</v>
      </c>
      <c r="C235">
        <f>YEAR(Tabela2[[#This Row],[Data]])</f>
        <v>2023</v>
      </c>
      <c r="D235" t="s">
        <v>10</v>
      </c>
      <c r="E235" t="s">
        <v>11</v>
      </c>
      <c r="F235" t="s">
        <v>19</v>
      </c>
      <c r="G235" t="s">
        <v>13</v>
      </c>
      <c r="H235">
        <v>7</v>
      </c>
      <c r="I235" s="8">
        <v>654.12887619855292</v>
      </c>
      <c r="J235" s="8">
        <v>4578.9021333898709</v>
      </c>
      <c r="K235" s="8">
        <v>3275.9156524259329</v>
      </c>
      <c r="L235" s="8">
        <v>1302.986480963938</v>
      </c>
      <c r="M235" s="5">
        <f>Tabela2[[#This Row],[Lucro]]/Tabela2[[#This Row],[Receita]]</f>
        <v>0.2845630771320517</v>
      </c>
    </row>
    <row r="236" spans="1:13" x14ac:dyDescent="0.3">
      <c r="A236" s="1">
        <v>45219</v>
      </c>
      <c r="B236" t="str">
        <f>TEXT(Tabela2[[#This Row],[Data]],"mmm")</f>
        <v>out</v>
      </c>
      <c r="C236">
        <f>YEAR(Tabela2[[#This Row],[Data]])</f>
        <v>2023</v>
      </c>
      <c r="D236" t="s">
        <v>18</v>
      </c>
      <c r="E236" t="s">
        <v>15</v>
      </c>
      <c r="F236" t="s">
        <v>21</v>
      </c>
      <c r="G236" t="s">
        <v>25</v>
      </c>
      <c r="H236">
        <v>9</v>
      </c>
      <c r="I236" s="8">
        <v>350.82192361586112</v>
      </c>
      <c r="J236" s="8">
        <v>3157.3973125427501</v>
      </c>
      <c r="K236" s="8">
        <v>2276.2727713911049</v>
      </c>
      <c r="L236" s="8">
        <v>881.12454115164519</v>
      </c>
      <c r="M236" s="5">
        <f>Tabela2[[#This Row],[Lucro]]/Tabela2[[#This Row],[Receita]]</f>
        <v>0.27906672931258314</v>
      </c>
    </row>
    <row r="237" spans="1:13" x14ac:dyDescent="0.3">
      <c r="A237" s="1">
        <v>45219</v>
      </c>
      <c r="B237" t="str">
        <f>TEXT(Tabela2[[#This Row],[Data]],"mmm")</f>
        <v>out</v>
      </c>
      <c r="C237">
        <f>YEAR(Tabela2[[#This Row],[Data]])</f>
        <v>2023</v>
      </c>
      <c r="D237" t="s">
        <v>10</v>
      </c>
      <c r="E237" t="s">
        <v>11</v>
      </c>
      <c r="F237" t="s">
        <v>19</v>
      </c>
      <c r="G237" t="s">
        <v>25</v>
      </c>
      <c r="H237">
        <v>4</v>
      </c>
      <c r="I237" s="8">
        <v>413.77900787655392</v>
      </c>
      <c r="J237" s="8">
        <v>1655.116031506215</v>
      </c>
      <c r="K237" s="8">
        <v>1097.325637596397</v>
      </c>
      <c r="L237" s="8">
        <v>557.79039390981893</v>
      </c>
      <c r="M237" s="5">
        <f>Tabela2[[#This Row],[Lucro]]/Tabela2[[#This Row],[Receita]]</f>
        <v>0.33700984299101355</v>
      </c>
    </row>
    <row r="238" spans="1:13" x14ac:dyDescent="0.3">
      <c r="A238" s="1">
        <v>45219</v>
      </c>
      <c r="B238" t="str">
        <f>TEXT(Tabela2[[#This Row],[Data]],"mmm")</f>
        <v>out</v>
      </c>
      <c r="C238">
        <f>YEAR(Tabela2[[#This Row],[Data]])</f>
        <v>2023</v>
      </c>
      <c r="D238" t="s">
        <v>10</v>
      </c>
      <c r="E238" t="s">
        <v>11</v>
      </c>
      <c r="F238" t="s">
        <v>24</v>
      </c>
      <c r="G238" t="s">
        <v>17</v>
      </c>
      <c r="H238">
        <v>1</v>
      </c>
      <c r="I238" s="8">
        <v>115.2457329278209</v>
      </c>
      <c r="J238" s="8">
        <v>115.2457329278209</v>
      </c>
      <c r="K238" s="8">
        <v>73.257068997042339</v>
      </c>
      <c r="L238" s="8">
        <v>41.988663930778571</v>
      </c>
      <c r="M238" s="5">
        <f>Tabela2[[#This Row],[Lucro]]/Tabela2[[#This Row],[Receita]]</f>
        <v>0.36434029151496938</v>
      </c>
    </row>
    <row r="239" spans="1:13" x14ac:dyDescent="0.3">
      <c r="A239" s="1">
        <v>45220</v>
      </c>
      <c r="B239" t="str">
        <f>TEXT(Tabela2[[#This Row],[Data]],"mmm")</f>
        <v>out</v>
      </c>
      <c r="C239">
        <f>YEAR(Tabela2[[#This Row],[Data]])</f>
        <v>2023</v>
      </c>
      <c r="D239" t="s">
        <v>23</v>
      </c>
      <c r="E239" t="s">
        <v>15</v>
      </c>
      <c r="F239" t="s">
        <v>19</v>
      </c>
      <c r="G239" t="s">
        <v>17</v>
      </c>
      <c r="H239">
        <v>8</v>
      </c>
      <c r="I239" s="8">
        <v>491.08714021655982</v>
      </c>
      <c r="J239" s="8">
        <v>3928.6971217324781</v>
      </c>
      <c r="K239" s="8">
        <v>2556.3501963529811</v>
      </c>
      <c r="L239" s="8">
        <v>1372.346925379497</v>
      </c>
      <c r="M239" s="5">
        <f>Tabela2[[#This Row],[Lucro]]/Tabela2[[#This Row],[Receita]]</f>
        <v>0.34931349576124082</v>
      </c>
    </row>
    <row r="240" spans="1:13" x14ac:dyDescent="0.3">
      <c r="A240" s="1">
        <v>45222</v>
      </c>
      <c r="B240" t="str">
        <f>TEXT(Tabela2[[#This Row],[Data]],"mmm")</f>
        <v>out</v>
      </c>
      <c r="C240">
        <f>YEAR(Tabela2[[#This Row],[Data]])</f>
        <v>2023</v>
      </c>
      <c r="D240" t="s">
        <v>26</v>
      </c>
      <c r="E240" t="s">
        <v>11</v>
      </c>
      <c r="F240" t="s">
        <v>16</v>
      </c>
      <c r="G240" t="s">
        <v>22</v>
      </c>
      <c r="H240">
        <v>5</v>
      </c>
      <c r="I240" s="8">
        <v>4924.9639348635556</v>
      </c>
      <c r="J240" s="8">
        <v>24624.81967431778</v>
      </c>
      <c r="K240" s="8">
        <v>18509.724068317311</v>
      </c>
      <c r="L240" s="8">
        <v>6115.0956060004764</v>
      </c>
      <c r="M240" s="5">
        <f>Tabela2[[#This Row],[Lucro]]/Tabela2[[#This Row],[Receita]]</f>
        <v>0.24833057406621975</v>
      </c>
    </row>
    <row r="241" spans="1:13" x14ac:dyDescent="0.3">
      <c r="A241" s="1">
        <v>45222</v>
      </c>
      <c r="B241" t="str">
        <f>TEXT(Tabela2[[#This Row],[Data]],"mmm")</f>
        <v>out</v>
      </c>
      <c r="C241">
        <f>YEAR(Tabela2[[#This Row],[Data]])</f>
        <v>2023</v>
      </c>
      <c r="D241" t="s">
        <v>14</v>
      </c>
      <c r="E241" t="s">
        <v>15</v>
      </c>
      <c r="F241" t="s">
        <v>12</v>
      </c>
      <c r="G241" t="s">
        <v>22</v>
      </c>
      <c r="H241">
        <v>7</v>
      </c>
      <c r="I241" s="8">
        <v>362.22084680290448</v>
      </c>
      <c r="J241" s="8">
        <v>2535.545927620331</v>
      </c>
      <c r="K241" s="8">
        <v>1707.045852545969</v>
      </c>
      <c r="L241" s="8">
        <v>828.50007507436226</v>
      </c>
      <c r="M241" s="5">
        <f>Tabela2[[#This Row],[Lucro]]/Tabela2[[#This Row],[Receita]]</f>
        <v>0.3267541187281624</v>
      </c>
    </row>
    <row r="242" spans="1:13" x14ac:dyDescent="0.3">
      <c r="A242" s="1">
        <v>45224</v>
      </c>
      <c r="B242" t="str">
        <f>TEXT(Tabela2[[#This Row],[Data]],"mmm")</f>
        <v>out</v>
      </c>
      <c r="C242">
        <f>YEAR(Tabela2[[#This Row],[Data]])</f>
        <v>2023</v>
      </c>
      <c r="D242" t="s">
        <v>14</v>
      </c>
      <c r="E242" t="s">
        <v>15</v>
      </c>
      <c r="F242" t="s">
        <v>19</v>
      </c>
      <c r="G242" t="s">
        <v>20</v>
      </c>
      <c r="H242">
        <v>9</v>
      </c>
      <c r="I242" s="8">
        <v>422.97599519139112</v>
      </c>
      <c r="J242" s="8">
        <v>3806.7839567225201</v>
      </c>
      <c r="K242" s="8">
        <v>2201.2680738181321</v>
      </c>
      <c r="L242" s="8">
        <v>1605.515882904388</v>
      </c>
      <c r="M242" s="5">
        <f>Tabela2[[#This Row],[Lucro]]/Tabela2[[#This Row],[Receita]]</f>
        <v>0.4217512475508774</v>
      </c>
    </row>
    <row r="243" spans="1:13" x14ac:dyDescent="0.3">
      <c r="A243" s="1">
        <v>45224</v>
      </c>
      <c r="B243" t="str">
        <f>TEXT(Tabela2[[#This Row],[Data]],"mmm")</f>
        <v>out</v>
      </c>
      <c r="C243">
        <f>YEAR(Tabela2[[#This Row],[Data]])</f>
        <v>2023</v>
      </c>
      <c r="D243" t="s">
        <v>10</v>
      </c>
      <c r="E243" t="s">
        <v>11</v>
      </c>
      <c r="F243" t="s">
        <v>19</v>
      </c>
      <c r="G243" t="s">
        <v>25</v>
      </c>
      <c r="H243">
        <v>6</v>
      </c>
      <c r="I243" s="8">
        <v>648.67418882462334</v>
      </c>
      <c r="J243" s="8">
        <v>3892.0451329477401</v>
      </c>
      <c r="K243" s="8">
        <v>2588.474527099253</v>
      </c>
      <c r="L243" s="8">
        <v>1303.570605848487</v>
      </c>
      <c r="M243" s="5">
        <f>Tabela2[[#This Row],[Lucro]]/Tabela2[[#This Row],[Receita]]</f>
        <v>0.33493203735312144</v>
      </c>
    </row>
    <row r="244" spans="1:13" x14ac:dyDescent="0.3">
      <c r="A244" s="1">
        <v>45225</v>
      </c>
      <c r="B244" t="str">
        <f>TEXT(Tabela2[[#This Row],[Data]],"mmm")</f>
        <v>out</v>
      </c>
      <c r="C244">
        <f>YEAR(Tabela2[[#This Row],[Data]])</f>
        <v>2023</v>
      </c>
      <c r="D244" t="s">
        <v>23</v>
      </c>
      <c r="E244" t="s">
        <v>15</v>
      </c>
      <c r="F244" t="s">
        <v>24</v>
      </c>
      <c r="G244" t="s">
        <v>20</v>
      </c>
      <c r="H244">
        <v>3</v>
      </c>
      <c r="I244" s="8">
        <v>219.8414160036773</v>
      </c>
      <c r="J244" s="8">
        <v>659.52424801103189</v>
      </c>
      <c r="K244" s="8">
        <v>450.75456009765298</v>
      </c>
      <c r="L244" s="8">
        <v>208.76968791337879</v>
      </c>
      <c r="M244" s="5">
        <f>Tabela2[[#This Row],[Lucro]]/Tabela2[[#This Row],[Receita]]</f>
        <v>0.31654588674029571</v>
      </c>
    </row>
    <row r="245" spans="1:13" x14ac:dyDescent="0.3">
      <c r="A245" s="1">
        <v>45227</v>
      </c>
      <c r="B245" t="str">
        <f>TEXT(Tabela2[[#This Row],[Data]],"mmm")</f>
        <v>out</v>
      </c>
      <c r="C245">
        <f>YEAR(Tabela2[[#This Row],[Data]])</f>
        <v>2023</v>
      </c>
      <c r="D245" t="s">
        <v>10</v>
      </c>
      <c r="E245" t="s">
        <v>11</v>
      </c>
      <c r="F245" t="s">
        <v>24</v>
      </c>
      <c r="G245" t="s">
        <v>20</v>
      </c>
      <c r="H245">
        <v>7</v>
      </c>
      <c r="I245" s="8">
        <v>146.65787783661031</v>
      </c>
      <c r="J245" s="8">
        <v>1026.6051448562721</v>
      </c>
      <c r="K245" s="8">
        <v>571.31061395495544</v>
      </c>
      <c r="L245" s="8">
        <v>455.29453090131659</v>
      </c>
      <c r="M245" s="5">
        <f>Tabela2[[#This Row],[Lucro]]/Tabela2[[#This Row],[Receita]]</f>
        <v>0.44349527487031953</v>
      </c>
    </row>
    <row r="246" spans="1:13" x14ac:dyDescent="0.3">
      <c r="A246" s="1">
        <v>45228</v>
      </c>
      <c r="B246" t="str">
        <f>TEXT(Tabela2[[#This Row],[Data]],"mmm")</f>
        <v>out</v>
      </c>
      <c r="C246">
        <f>YEAR(Tabela2[[#This Row],[Data]])</f>
        <v>2023</v>
      </c>
      <c r="D246" t="s">
        <v>23</v>
      </c>
      <c r="E246" t="s">
        <v>15</v>
      </c>
      <c r="F246" t="s">
        <v>16</v>
      </c>
      <c r="G246" t="s">
        <v>25</v>
      </c>
      <c r="H246">
        <v>1</v>
      </c>
      <c r="I246" s="8">
        <v>78.770079684780001</v>
      </c>
      <c r="J246" s="8">
        <v>78.770079684780001</v>
      </c>
      <c r="K246" s="8">
        <v>46.608973412985307</v>
      </c>
      <c r="L246" s="8">
        <v>32.161106271794687</v>
      </c>
      <c r="M246" s="5">
        <f>Tabela2[[#This Row],[Lucro]]/Tabela2[[#This Row],[Receita]]</f>
        <v>0.40829089421384546</v>
      </c>
    </row>
    <row r="247" spans="1:13" x14ac:dyDescent="0.3">
      <c r="A247" s="1">
        <v>45229</v>
      </c>
      <c r="B247" t="str">
        <f>TEXT(Tabela2[[#This Row],[Data]],"mmm")</f>
        <v>out</v>
      </c>
      <c r="C247">
        <f>YEAR(Tabela2[[#This Row],[Data]])</f>
        <v>2023</v>
      </c>
      <c r="D247" t="s">
        <v>26</v>
      </c>
      <c r="E247" t="s">
        <v>11</v>
      </c>
      <c r="F247" t="s">
        <v>24</v>
      </c>
      <c r="G247" t="s">
        <v>22</v>
      </c>
      <c r="H247">
        <v>7</v>
      </c>
      <c r="I247" s="8">
        <v>3793.0084780314678</v>
      </c>
      <c r="J247" s="8">
        <v>26551.059346220281</v>
      </c>
      <c r="K247" s="8">
        <v>16044.047323247771</v>
      </c>
      <c r="L247" s="8">
        <v>10507.0120229725</v>
      </c>
      <c r="M247" s="5">
        <f>Tabela2[[#This Row],[Lucro]]/Tabela2[[#This Row],[Receita]]</f>
        <v>0.39572854272830521</v>
      </c>
    </row>
    <row r="248" spans="1:13" x14ac:dyDescent="0.3">
      <c r="A248" s="1">
        <v>45230</v>
      </c>
      <c r="B248" t="str">
        <f>TEXT(Tabela2[[#This Row],[Data]],"mmm")</f>
        <v>out</v>
      </c>
      <c r="C248">
        <f>YEAR(Tabela2[[#This Row],[Data]])</f>
        <v>2023</v>
      </c>
      <c r="D248" t="s">
        <v>14</v>
      </c>
      <c r="E248" t="s">
        <v>15</v>
      </c>
      <c r="F248" t="s">
        <v>19</v>
      </c>
      <c r="G248" t="s">
        <v>22</v>
      </c>
      <c r="H248">
        <v>8</v>
      </c>
      <c r="I248" s="8">
        <v>683.72419003865991</v>
      </c>
      <c r="J248" s="8">
        <v>5469.7935203092793</v>
      </c>
      <c r="K248" s="8">
        <v>4270.2158287839447</v>
      </c>
      <c r="L248" s="8">
        <v>1199.577691525335</v>
      </c>
      <c r="M248" s="5">
        <f>Tabela2[[#This Row],[Lucro]]/Tabela2[[#This Row],[Receita]]</f>
        <v>0.21930950173371574</v>
      </c>
    </row>
    <row r="249" spans="1:13" x14ac:dyDescent="0.3">
      <c r="A249" s="1">
        <v>45230</v>
      </c>
      <c r="B249" t="str">
        <f>TEXT(Tabela2[[#This Row],[Data]],"mmm")</f>
        <v>out</v>
      </c>
      <c r="C249">
        <f>YEAR(Tabela2[[#This Row],[Data]])</f>
        <v>2023</v>
      </c>
      <c r="D249" t="s">
        <v>18</v>
      </c>
      <c r="E249" t="s">
        <v>15</v>
      </c>
      <c r="F249" t="s">
        <v>19</v>
      </c>
      <c r="G249" t="s">
        <v>17</v>
      </c>
      <c r="H249">
        <v>9</v>
      </c>
      <c r="I249" s="8">
        <v>316.55258265296851</v>
      </c>
      <c r="J249" s="8">
        <v>2848.973243876716</v>
      </c>
      <c r="K249" s="8">
        <v>1765.3572514854909</v>
      </c>
      <c r="L249" s="8">
        <v>1083.615992391226</v>
      </c>
      <c r="M249" s="5">
        <f>Tabela2[[#This Row],[Lucro]]/Tabela2[[#This Row],[Receita]]</f>
        <v>0.38035316573093009</v>
      </c>
    </row>
    <row r="250" spans="1:13" x14ac:dyDescent="0.3">
      <c r="A250" s="1">
        <v>45230</v>
      </c>
      <c r="B250" t="str">
        <f>TEXT(Tabela2[[#This Row],[Data]],"mmm")</f>
        <v>out</v>
      </c>
      <c r="C250">
        <f>YEAR(Tabela2[[#This Row],[Data]])</f>
        <v>2023</v>
      </c>
      <c r="D250" t="s">
        <v>10</v>
      </c>
      <c r="E250" t="s">
        <v>11</v>
      </c>
      <c r="F250" t="s">
        <v>12</v>
      </c>
      <c r="G250" t="s">
        <v>17</v>
      </c>
      <c r="H250">
        <v>7</v>
      </c>
      <c r="I250" s="8">
        <v>284.44323701798652</v>
      </c>
      <c r="J250" s="8">
        <v>1991.102659125906</v>
      </c>
      <c r="K250" s="8">
        <v>1204.144963344002</v>
      </c>
      <c r="L250" s="8">
        <v>786.95769578190402</v>
      </c>
      <c r="M250" s="5">
        <f>Tabela2[[#This Row],[Lucro]]/Tabela2[[#This Row],[Receita]]</f>
        <v>0.39523712761620156</v>
      </c>
    </row>
    <row r="251" spans="1:13" x14ac:dyDescent="0.3">
      <c r="A251" s="1">
        <v>45231</v>
      </c>
      <c r="B251" t="str">
        <f>TEXT(Tabela2[[#This Row],[Data]],"mmm")</f>
        <v>nov</v>
      </c>
      <c r="C251">
        <f>YEAR(Tabela2[[#This Row],[Data]])</f>
        <v>2023</v>
      </c>
      <c r="D251" t="s">
        <v>14</v>
      </c>
      <c r="E251" t="s">
        <v>15</v>
      </c>
      <c r="F251" t="s">
        <v>12</v>
      </c>
      <c r="G251" t="s">
        <v>13</v>
      </c>
      <c r="H251">
        <v>6</v>
      </c>
      <c r="I251" s="8">
        <v>483.92577715401018</v>
      </c>
      <c r="J251" s="8">
        <v>2903.5546629240612</v>
      </c>
      <c r="K251" s="8">
        <v>1988.8808641161691</v>
      </c>
      <c r="L251" s="8">
        <v>914.67379880789235</v>
      </c>
      <c r="M251" s="5">
        <f>Tabela2[[#This Row],[Lucro]]/Tabela2[[#This Row],[Receita]]</f>
        <v>0.3150186254412578</v>
      </c>
    </row>
    <row r="252" spans="1:13" x14ac:dyDescent="0.3">
      <c r="A252" s="1">
        <v>45232</v>
      </c>
      <c r="B252" t="str">
        <f>TEXT(Tabela2[[#This Row],[Data]],"mmm")</f>
        <v>nov</v>
      </c>
      <c r="C252">
        <f>YEAR(Tabela2[[#This Row],[Data]])</f>
        <v>2023</v>
      </c>
      <c r="D252" t="s">
        <v>10</v>
      </c>
      <c r="E252" t="s">
        <v>11</v>
      </c>
      <c r="F252" t="s">
        <v>21</v>
      </c>
      <c r="G252" t="s">
        <v>25</v>
      </c>
      <c r="H252">
        <v>5</v>
      </c>
      <c r="I252" s="8">
        <v>88.958414225204336</v>
      </c>
      <c r="J252" s="8">
        <v>444.79207112602171</v>
      </c>
      <c r="K252" s="8">
        <v>328.05432459467983</v>
      </c>
      <c r="L252" s="8">
        <v>116.7377465313419</v>
      </c>
      <c r="M252" s="5">
        <f>Tabela2[[#This Row],[Lucro]]/Tabela2[[#This Row],[Receita]]</f>
        <v>0.26245464815911007</v>
      </c>
    </row>
    <row r="253" spans="1:13" x14ac:dyDescent="0.3">
      <c r="A253" s="1">
        <v>45234</v>
      </c>
      <c r="B253" t="str">
        <f>TEXT(Tabela2[[#This Row],[Data]],"mmm")</f>
        <v>nov</v>
      </c>
      <c r="C253">
        <f>YEAR(Tabela2[[#This Row],[Data]])</f>
        <v>2023</v>
      </c>
      <c r="D253" t="s">
        <v>23</v>
      </c>
      <c r="E253" t="s">
        <v>15</v>
      </c>
      <c r="F253" t="s">
        <v>24</v>
      </c>
      <c r="G253" t="s">
        <v>25</v>
      </c>
      <c r="H253">
        <v>3</v>
      </c>
      <c r="I253" s="8">
        <v>640.24523191958883</v>
      </c>
      <c r="J253" s="8">
        <v>1920.735695758766</v>
      </c>
      <c r="K253" s="8">
        <v>1116.426999647915</v>
      </c>
      <c r="L253" s="8">
        <v>804.30869611085132</v>
      </c>
      <c r="M253" s="5">
        <f>Tabela2[[#This Row],[Lucro]]/Tabela2[[#This Row],[Receita]]</f>
        <v>0.41875032462137785</v>
      </c>
    </row>
    <row r="254" spans="1:13" x14ac:dyDescent="0.3">
      <c r="A254" s="1">
        <v>45234</v>
      </c>
      <c r="B254" t="str">
        <f>TEXT(Tabela2[[#This Row],[Data]],"mmm")</f>
        <v>nov</v>
      </c>
      <c r="C254">
        <f>YEAR(Tabela2[[#This Row],[Data]])</f>
        <v>2023</v>
      </c>
      <c r="D254" t="s">
        <v>23</v>
      </c>
      <c r="E254" t="s">
        <v>15</v>
      </c>
      <c r="F254" t="s">
        <v>24</v>
      </c>
      <c r="G254" t="s">
        <v>25</v>
      </c>
      <c r="H254">
        <v>2</v>
      </c>
      <c r="I254" s="8">
        <v>273.24722297424682</v>
      </c>
      <c r="J254" s="8">
        <v>546.49444594849354</v>
      </c>
      <c r="K254" s="8">
        <v>394.13568721622062</v>
      </c>
      <c r="L254" s="8">
        <v>152.35875873227289</v>
      </c>
      <c r="M254" s="5">
        <f>Tabela2[[#This Row],[Lucro]]/Tabela2[[#This Row],[Receita]]</f>
        <v>0.27879287678365999</v>
      </c>
    </row>
    <row r="255" spans="1:13" x14ac:dyDescent="0.3">
      <c r="A255" s="1">
        <v>45235</v>
      </c>
      <c r="B255" t="str">
        <f>TEXT(Tabela2[[#This Row],[Data]],"mmm")</f>
        <v>nov</v>
      </c>
      <c r="C255">
        <f>YEAR(Tabela2[[#This Row],[Data]])</f>
        <v>2023</v>
      </c>
      <c r="D255" t="s">
        <v>18</v>
      </c>
      <c r="E255" t="s">
        <v>15</v>
      </c>
      <c r="F255" t="s">
        <v>19</v>
      </c>
      <c r="G255" t="s">
        <v>20</v>
      </c>
      <c r="H255">
        <v>5</v>
      </c>
      <c r="I255" s="8">
        <v>501.63557750961888</v>
      </c>
      <c r="J255" s="8">
        <v>2508.177887548095</v>
      </c>
      <c r="K255" s="8">
        <v>1714.3294233697311</v>
      </c>
      <c r="L255" s="8">
        <v>793.84846417836366</v>
      </c>
      <c r="M255" s="5">
        <f>Tabela2[[#This Row],[Lucro]]/Tabela2[[#This Row],[Receita]]</f>
        <v>0.31650405185351566</v>
      </c>
    </row>
    <row r="256" spans="1:13" x14ac:dyDescent="0.3">
      <c r="A256" s="1">
        <v>45235</v>
      </c>
      <c r="B256" t="str">
        <f>TEXT(Tabela2[[#This Row],[Data]],"mmm")</f>
        <v>nov</v>
      </c>
      <c r="C256">
        <f>YEAR(Tabela2[[#This Row],[Data]])</f>
        <v>2023</v>
      </c>
      <c r="D256" t="s">
        <v>26</v>
      </c>
      <c r="E256" t="s">
        <v>11</v>
      </c>
      <c r="F256" t="s">
        <v>24</v>
      </c>
      <c r="G256" t="s">
        <v>25</v>
      </c>
      <c r="H256">
        <v>9</v>
      </c>
      <c r="I256" s="8">
        <v>72.928513872784151</v>
      </c>
      <c r="J256" s="8">
        <v>656.35662485505736</v>
      </c>
      <c r="K256" s="8">
        <v>393.84662964447568</v>
      </c>
      <c r="L256" s="8">
        <v>262.50999521058162</v>
      </c>
      <c r="M256" s="5">
        <f>Tabela2[[#This Row],[Lucro]]/Tabela2[[#This Row],[Receita]]</f>
        <v>0.39995024849265665</v>
      </c>
    </row>
    <row r="257" spans="1:13" x14ac:dyDescent="0.3">
      <c r="A257" s="1">
        <v>45237</v>
      </c>
      <c r="B257" t="str">
        <f>TEXT(Tabela2[[#This Row],[Data]],"mmm")</f>
        <v>nov</v>
      </c>
      <c r="C257">
        <f>YEAR(Tabela2[[#This Row],[Data]])</f>
        <v>2023</v>
      </c>
      <c r="D257" t="s">
        <v>18</v>
      </c>
      <c r="E257" t="s">
        <v>15</v>
      </c>
      <c r="F257" t="s">
        <v>24</v>
      </c>
      <c r="G257" t="s">
        <v>22</v>
      </c>
      <c r="H257">
        <v>7</v>
      </c>
      <c r="I257" s="8">
        <v>681.5399144641691</v>
      </c>
      <c r="J257" s="8">
        <v>4770.779401249184</v>
      </c>
      <c r="K257" s="8">
        <v>2561.1121374702798</v>
      </c>
      <c r="L257" s="8">
        <v>2209.6672637789038</v>
      </c>
      <c r="M257" s="5">
        <f>Tabela2[[#This Row],[Lucro]]/Tabela2[[#This Row],[Receita]]</f>
        <v>0.46316693310118745</v>
      </c>
    </row>
    <row r="258" spans="1:13" x14ac:dyDescent="0.3">
      <c r="A258" s="1">
        <v>45237</v>
      </c>
      <c r="B258" t="str">
        <f>TEXT(Tabela2[[#This Row],[Data]],"mmm")</f>
        <v>nov</v>
      </c>
      <c r="C258">
        <f>YEAR(Tabela2[[#This Row],[Data]])</f>
        <v>2023</v>
      </c>
      <c r="D258" t="s">
        <v>10</v>
      </c>
      <c r="E258" t="s">
        <v>11</v>
      </c>
      <c r="F258" t="s">
        <v>21</v>
      </c>
      <c r="G258" t="s">
        <v>17</v>
      </c>
      <c r="H258">
        <v>5</v>
      </c>
      <c r="I258" s="8">
        <v>797.37673291764622</v>
      </c>
      <c r="J258" s="8">
        <v>3986.8836645882311</v>
      </c>
      <c r="K258" s="8">
        <v>2657.7743104525639</v>
      </c>
      <c r="L258" s="8">
        <v>1329.109354135667</v>
      </c>
      <c r="M258" s="5">
        <f>Tabela2[[#This Row],[Lucro]]/Tabela2[[#This Row],[Receita]]</f>
        <v>0.33337048831921173</v>
      </c>
    </row>
    <row r="259" spans="1:13" x14ac:dyDescent="0.3">
      <c r="A259" s="1">
        <v>45238</v>
      </c>
      <c r="B259" t="str">
        <f>TEXT(Tabela2[[#This Row],[Data]],"mmm")</f>
        <v>nov</v>
      </c>
      <c r="C259">
        <f>YEAR(Tabela2[[#This Row],[Data]])</f>
        <v>2023</v>
      </c>
      <c r="D259" t="s">
        <v>26</v>
      </c>
      <c r="E259" t="s">
        <v>11</v>
      </c>
      <c r="F259" t="s">
        <v>12</v>
      </c>
      <c r="G259" t="s">
        <v>20</v>
      </c>
      <c r="H259">
        <v>5</v>
      </c>
      <c r="I259" s="8">
        <v>264.8338773259552</v>
      </c>
      <c r="J259" s="8">
        <v>1324.169386629776</v>
      </c>
      <c r="K259" s="8">
        <v>1029.400010744936</v>
      </c>
      <c r="L259" s="8">
        <v>294.76937588483997</v>
      </c>
      <c r="M259" s="5">
        <f>Tabela2[[#This Row],[Lucro]]/Tabela2[[#This Row],[Receita]]</f>
        <v>0.22260700093292099</v>
      </c>
    </row>
    <row r="260" spans="1:13" x14ac:dyDescent="0.3">
      <c r="A260" s="1">
        <v>45239</v>
      </c>
      <c r="B260" t="str">
        <f>TEXT(Tabela2[[#This Row],[Data]],"mmm")</f>
        <v>nov</v>
      </c>
      <c r="C260">
        <f>YEAR(Tabela2[[#This Row],[Data]])</f>
        <v>2023</v>
      </c>
      <c r="D260" t="s">
        <v>14</v>
      </c>
      <c r="E260" t="s">
        <v>15</v>
      </c>
      <c r="F260" t="s">
        <v>16</v>
      </c>
      <c r="G260" t="s">
        <v>17</v>
      </c>
      <c r="H260">
        <v>8</v>
      </c>
      <c r="I260" s="8">
        <v>101.2046939479676</v>
      </c>
      <c r="J260" s="8">
        <v>809.63755158374079</v>
      </c>
      <c r="K260" s="8">
        <v>599.11140604207026</v>
      </c>
      <c r="L260" s="8">
        <v>210.5261455416705</v>
      </c>
      <c r="M260" s="5">
        <f>Tabela2[[#This Row],[Lucro]]/Tabela2[[#This Row],[Receita]]</f>
        <v>0.26002517438804318</v>
      </c>
    </row>
    <row r="261" spans="1:13" x14ac:dyDescent="0.3">
      <c r="A261" s="1">
        <v>45240</v>
      </c>
      <c r="B261" t="str">
        <f>TEXT(Tabela2[[#This Row],[Data]],"mmm")</f>
        <v>nov</v>
      </c>
      <c r="C261">
        <f>YEAR(Tabela2[[#This Row],[Data]])</f>
        <v>2023</v>
      </c>
      <c r="D261" t="s">
        <v>23</v>
      </c>
      <c r="E261" t="s">
        <v>15</v>
      </c>
      <c r="F261" t="s">
        <v>24</v>
      </c>
      <c r="G261" t="s">
        <v>17</v>
      </c>
      <c r="H261">
        <v>8</v>
      </c>
      <c r="I261" s="8">
        <v>593.35541416703086</v>
      </c>
      <c r="J261" s="8">
        <v>4746.8433133362469</v>
      </c>
      <c r="K261" s="8">
        <v>3517.621081205275</v>
      </c>
      <c r="L261" s="8">
        <v>1229.2222321309721</v>
      </c>
      <c r="M261" s="5">
        <f>Tabela2[[#This Row],[Lucro]]/Tabela2[[#This Row],[Receita]]</f>
        <v>0.25895572088454544</v>
      </c>
    </row>
    <row r="262" spans="1:13" x14ac:dyDescent="0.3">
      <c r="A262" s="1">
        <v>45241</v>
      </c>
      <c r="B262" t="str">
        <f>TEXT(Tabela2[[#This Row],[Data]],"mmm")</f>
        <v>nov</v>
      </c>
      <c r="C262">
        <f>YEAR(Tabela2[[#This Row],[Data]])</f>
        <v>2023</v>
      </c>
      <c r="D262" t="s">
        <v>14</v>
      </c>
      <c r="E262" t="s">
        <v>15</v>
      </c>
      <c r="F262" t="s">
        <v>21</v>
      </c>
      <c r="G262" t="s">
        <v>17</v>
      </c>
      <c r="H262">
        <v>1</v>
      </c>
      <c r="I262" s="8">
        <v>385.5806646400768</v>
      </c>
      <c r="J262" s="8">
        <v>385.5806646400768</v>
      </c>
      <c r="K262" s="8">
        <v>240.77424614514521</v>
      </c>
      <c r="L262" s="8">
        <v>144.80641849493159</v>
      </c>
      <c r="M262" s="5">
        <f>Tabela2[[#This Row],[Lucro]]/Tabela2[[#This Row],[Receita]]</f>
        <v>0.37555414929870057</v>
      </c>
    </row>
    <row r="263" spans="1:13" x14ac:dyDescent="0.3">
      <c r="A263" s="1">
        <v>45242</v>
      </c>
      <c r="B263" t="str">
        <f>TEXT(Tabela2[[#This Row],[Data]],"mmm")</f>
        <v>nov</v>
      </c>
      <c r="C263">
        <f>YEAR(Tabela2[[#This Row],[Data]])</f>
        <v>2023</v>
      </c>
      <c r="D263" t="s">
        <v>18</v>
      </c>
      <c r="E263" t="s">
        <v>15</v>
      </c>
      <c r="F263" t="s">
        <v>21</v>
      </c>
      <c r="G263" t="s">
        <v>25</v>
      </c>
      <c r="H263">
        <v>4</v>
      </c>
      <c r="I263" s="8">
        <v>526.9718660066568</v>
      </c>
      <c r="J263" s="8">
        <v>2107.8874640266272</v>
      </c>
      <c r="K263" s="8">
        <v>1497.843886233343</v>
      </c>
      <c r="L263" s="8">
        <v>610.04357779328438</v>
      </c>
      <c r="M263" s="5">
        <f>Tabela2[[#This Row],[Lucro]]/Tabela2[[#This Row],[Receita]]</f>
        <v>0.28940993682268906</v>
      </c>
    </row>
    <row r="264" spans="1:13" x14ac:dyDescent="0.3">
      <c r="A264" s="1">
        <v>45242</v>
      </c>
      <c r="B264" t="str">
        <f>TEXT(Tabela2[[#This Row],[Data]],"mmm")</f>
        <v>nov</v>
      </c>
      <c r="C264">
        <f>YEAR(Tabela2[[#This Row],[Data]])</f>
        <v>2023</v>
      </c>
      <c r="D264" t="s">
        <v>18</v>
      </c>
      <c r="E264" t="s">
        <v>15</v>
      </c>
      <c r="F264" t="s">
        <v>24</v>
      </c>
      <c r="G264" t="s">
        <v>22</v>
      </c>
      <c r="H264">
        <v>5</v>
      </c>
      <c r="I264" s="8">
        <v>200.09718398527619</v>
      </c>
      <c r="J264" s="8">
        <v>1000.485919926381</v>
      </c>
      <c r="K264" s="8">
        <v>572.58573549400626</v>
      </c>
      <c r="L264" s="8">
        <v>427.90018443237477</v>
      </c>
      <c r="M264" s="5">
        <f>Tabela2[[#This Row],[Lucro]]/Tabela2[[#This Row],[Receita]]</f>
        <v>0.42769236019219647</v>
      </c>
    </row>
    <row r="265" spans="1:13" x14ac:dyDescent="0.3">
      <c r="A265" s="1">
        <v>45243</v>
      </c>
      <c r="B265" t="str">
        <f>TEXT(Tabela2[[#This Row],[Data]],"mmm")</f>
        <v>nov</v>
      </c>
      <c r="C265">
        <f>YEAR(Tabela2[[#This Row],[Data]])</f>
        <v>2023</v>
      </c>
      <c r="D265" t="s">
        <v>14</v>
      </c>
      <c r="E265" t="s">
        <v>15</v>
      </c>
      <c r="F265" t="s">
        <v>19</v>
      </c>
      <c r="G265" t="s">
        <v>13</v>
      </c>
      <c r="H265">
        <v>1</v>
      </c>
      <c r="I265" s="8">
        <v>54.010941968458333</v>
      </c>
      <c r="J265" s="8">
        <v>54.010941968458333</v>
      </c>
      <c r="K265" s="8">
        <v>43.1204539612419</v>
      </c>
      <c r="L265" s="8">
        <v>10.89048800721643</v>
      </c>
      <c r="M265" s="5">
        <f>Tabela2[[#This Row],[Lucro]]/Tabela2[[#This Row],[Receita]]</f>
        <v>0.20163484676079763</v>
      </c>
    </row>
    <row r="266" spans="1:13" x14ac:dyDescent="0.3">
      <c r="A266" s="1">
        <v>45244</v>
      </c>
      <c r="B266" t="str">
        <f>TEXT(Tabela2[[#This Row],[Data]],"mmm")</f>
        <v>nov</v>
      </c>
      <c r="C266">
        <f>YEAR(Tabela2[[#This Row],[Data]])</f>
        <v>2023</v>
      </c>
      <c r="D266" t="s">
        <v>23</v>
      </c>
      <c r="E266" t="s">
        <v>15</v>
      </c>
      <c r="F266" t="s">
        <v>21</v>
      </c>
      <c r="G266" t="s">
        <v>17</v>
      </c>
      <c r="H266">
        <v>8</v>
      </c>
      <c r="I266" s="8">
        <v>478.21381130257799</v>
      </c>
      <c r="J266" s="8">
        <v>3825.710490420624</v>
      </c>
      <c r="K266" s="8">
        <v>2250.334189394724</v>
      </c>
      <c r="L266" s="8">
        <v>1575.3763010258999</v>
      </c>
      <c r="M266" s="5">
        <f>Tabela2[[#This Row],[Lucro]]/Tabela2[[#This Row],[Receita]]</f>
        <v>0.41178659623370839</v>
      </c>
    </row>
    <row r="267" spans="1:13" x14ac:dyDescent="0.3">
      <c r="A267" s="1">
        <v>45245</v>
      </c>
      <c r="B267" t="str">
        <f>TEXT(Tabela2[[#This Row],[Data]],"mmm")</f>
        <v>nov</v>
      </c>
      <c r="C267">
        <f>YEAR(Tabela2[[#This Row],[Data]])</f>
        <v>2023</v>
      </c>
      <c r="D267" t="s">
        <v>10</v>
      </c>
      <c r="E267" t="s">
        <v>11</v>
      </c>
      <c r="F267" t="s">
        <v>21</v>
      </c>
      <c r="G267" t="s">
        <v>17</v>
      </c>
      <c r="H267">
        <v>7</v>
      </c>
      <c r="I267" s="8">
        <v>757.97006046423348</v>
      </c>
      <c r="J267" s="8">
        <v>5305.7904232496348</v>
      </c>
      <c r="K267" s="8">
        <v>3247.1055101929119</v>
      </c>
      <c r="L267" s="8">
        <v>2058.684913056723</v>
      </c>
      <c r="M267" s="5">
        <f>Tabela2[[#This Row],[Lucro]]/Tabela2[[#This Row],[Receita]]</f>
        <v>0.38800720511607417</v>
      </c>
    </row>
    <row r="268" spans="1:13" x14ac:dyDescent="0.3">
      <c r="A268" s="1">
        <v>45245</v>
      </c>
      <c r="B268" t="str">
        <f>TEXT(Tabela2[[#This Row],[Data]],"mmm")</f>
        <v>nov</v>
      </c>
      <c r="C268">
        <f>YEAR(Tabela2[[#This Row],[Data]])</f>
        <v>2023</v>
      </c>
      <c r="D268" t="s">
        <v>23</v>
      </c>
      <c r="E268" t="s">
        <v>15</v>
      </c>
      <c r="F268" t="s">
        <v>12</v>
      </c>
      <c r="G268" t="s">
        <v>20</v>
      </c>
      <c r="H268">
        <v>8</v>
      </c>
      <c r="I268" s="8">
        <v>357.93246419789142</v>
      </c>
      <c r="J268" s="8">
        <v>2863.4597135831309</v>
      </c>
      <c r="K268" s="8">
        <v>2277.3250365236868</v>
      </c>
      <c r="L268" s="8">
        <v>586.13467705944367</v>
      </c>
      <c r="M268" s="5">
        <f>Tabela2[[#This Row],[Lucro]]/Tabela2[[#This Row],[Receita]]</f>
        <v>0.20469457777912867</v>
      </c>
    </row>
    <row r="269" spans="1:13" x14ac:dyDescent="0.3">
      <c r="A269" s="1">
        <v>45246</v>
      </c>
      <c r="B269" t="str">
        <f>TEXT(Tabela2[[#This Row],[Data]],"mmm")</f>
        <v>nov</v>
      </c>
      <c r="C269">
        <f>YEAR(Tabela2[[#This Row],[Data]])</f>
        <v>2023</v>
      </c>
      <c r="D269" t="s">
        <v>18</v>
      </c>
      <c r="E269" t="s">
        <v>15</v>
      </c>
      <c r="F269" t="s">
        <v>16</v>
      </c>
      <c r="G269" t="s">
        <v>13</v>
      </c>
      <c r="H269">
        <v>6</v>
      </c>
      <c r="I269" s="8">
        <v>492.50435909837199</v>
      </c>
      <c r="J269" s="8">
        <v>2955.0261545902322</v>
      </c>
      <c r="K269" s="8">
        <v>1687.8164895399341</v>
      </c>
      <c r="L269" s="8">
        <v>1267.2096650502981</v>
      </c>
      <c r="M269" s="5">
        <f>Tabela2[[#This Row],[Lucro]]/Tabela2[[#This Row],[Receita]]</f>
        <v>0.42883196247920169</v>
      </c>
    </row>
    <row r="270" spans="1:13" x14ac:dyDescent="0.3">
      <c r="A270" s="1">
        <v>45250</v>
      </c>
      <c r="B270" t="str">
        <f>TEXT(Tabela2[[#This Row],[Data]],"mmm")</f>
        <v>nov</v>
      </c>
      <c r="C270">
        <f>YEAR(Tabela2[[#This Row],[Data]])</f>
        <v>2023</v>
      </c>
      <c r="D270" t="s">
        <v>18</v>
      </c>
      <c r="E270" t="s">
        <v>15</v>
      </c>
      <c r="F270" t="s">
        <v>12</v>
      </c>
      <c r="G270" t="s">
        <v>25</v>
      </c>
      <c r="H270">
        <v>6</v>
      </c>
      <c r="I270" s="8">
        <v>361.77443020135041</v>
      </c>
      <c r="J270" s="8">
        <v>2170.6465812081019</v>
      </c>
      <c r="K270" s="8">
        <v>1672.293682253068</v>
      </c>
      <c r="L270" s="8">
        <v>498.35289895503428</v>
      </c>
      <c r="M270" s="5">
        <f>Tabela2[[#This Row],[Lucro]]/Tabela2[[#This Row],[Receita]]</f>
        <v>0.22958730512346667</v>
      </c>
    </row>
    <row r="271" spans="1:13" x14ac:dyDescent="0.3">
      <c r="A271" s="1">
        <v>45250</v>
      </c>
      <c r="B271" t="str">
        <f>TEXT(Tabela2[[#This Row],[Data]],"mmm")</f>
        <v>nov</v>
      </c>
      <c r="C271">
        <f>YEAR(Tabela2[[#This Row],[Data]])</f>
        <v>2023</v>
      </c>
      <c r="D271" t="s">
        <v>23</v>
      </c>
      <c r="E271" t="s">
        <v>15</v>
      </c>
      <c r="F271" t="s">
        <v>12</v>
      </c>
      <c r="G271" t="s">
        <v>13</v>
      </c>
      <c r="H271">
        <v>2</v>
      </c>
      <c r="I271" s="8">
        <v>149.7386540396509</v>
      </c>
      <c r="J271" s="8">
        <v>299.47730807930168</v>
      </c>
      <c r="K271" s="8">
        <v>205.20350677407001</v>
      </c>
      <c r="L271" s="8">
        <v>94.273801305231785</v>
      </c>
      <c r="M271" s="5">
        <f>Tabela2[[#This Row],[Lucro]]/Tabela2[[#This Row],[Receita]]</f>
        <v>0.31479447277610784</v>
      </c>
    </row>
    <row r="272" spans="1:13" x14ac:dyDescent="0.3">
      <c r="A272" s="1">
        <v>45251</v>
      </c>
      <c r="B272" t="str">
        <f>TEXT(Tabela2[[#This Row],[Data]],"mmm")</f>
        <v>nov</v>
      </c>
      <c r="C272">
        <f>YEAR(Tabela2[[#This Row],[Data]])</f>
        <v>2023</v>
      </c>
      <c r="D272" t="s">
        <v>23</v>
      </c>
      <c r="E272" t="s">
        <v>15</v>
      </c>
      <c r="F272" t="s">
        <v>19</v>
      </c>
      <c r="G272" t="s">
        <v>20</v>
      </c>
      <c r="H272">
        <v>1</v>
      </c>
      <c r="I272" s="8">
        <v>696.4151681729029</v>
      </c>
      <c r="J272" s="8">
        <v>696.4151681729029</v>
      </c>
      <c r="K272" s="8">
        <v>481.16791958881282</v>
      </c>
      <c r="L272" s="8">
        <v>215.2472485840901</v>
      </c>
      <c r="M272" s="5">
        <f>Tabela2[[#This Row],[Lucro]]/Tabela2[[#This Row],[Receita]]</f>
        <v>0.30907892076619653</v>
      </c>
    </row>
    <row r="273" spans="1:13" x14ac:dyDescent="0.3">
      <c r="A273" s="1">
        <v>45253</v>
      </c>
      <c r="B273" t="str">
        <f>TEXT(Tabela2[[#This Row],[Data]],"mmm")</f>
        <v>nov</v>
      </c>
      <c r="C273">
        <f>YEAR(Tabela2[[#This Row],[Data]])</f>
        <v>2023</v>
      </c>
      <c r="D273" t="s">
        <v>26</v>
      </c>
      <c r="E273" t="s">
        <v>11</v>
      </c>
      <c r="F273" t="s">
        <v>12</v>
      </c>
      <c r="G273" t="s">
        <v>25</v>
      </c>
      <c r="H273">
        <v>4</v>
      </c>
      <c r="I273" s="8">
        <v>1912.4849483780331</v>
      </c>
      <c r="J273" s="8">
        <v>7649.9397935121324</v>
      </c>
      <c r="K273" s="8">
        <v>4016.6025333940452</v>
      </c>
      <c r="L273" s="8">
        <v>3633.3372601180881</v>
      </c>
      <c r="M273" s="5">
        <f>Tabela2[[#This Row],[Lucro]]/Tabela2[[#This Row],[Receita]]</f>
        <v>0.47494978499039947</v>
      </c>
    </row>
    <row r="274" spans="1:13" x14ac:dyDescent="0.3">
      <c r="A274" s="1">
        <v>45254</v>
      </c>
      <c r="B274" t="str">
        <f>TEXT(Tabela2[[#This Row],[Data]],"mmm")</f>
        <v>nov</v>
      </c>
      <c r="C274">
        <f>YEAR(Tabela2[[#This Row],[Data]])</f>
        <v>2023</v>
      </c>
      <c r="D274" t="s">
        <v>26</v>
      </c>
      <c r="E274" t="s">
        <v>11</v>
      </c>
      <c r="F274" t="s">
        <v>19</v>
      </c>
      <c r="G274" t="s">
        <v>22</v>
      </c>
      <c r="H274">
        <v>1</v>
      </c>
      <c r="I274" s="8">
        <v>1117.5920043686999</v>
      </c>
      <c r="J274" s="8">
        <v>1117.5920043686999</v>
      </c>
      <c r="K274" s="8">
        <v>779.70554218236862</v>
      </c>
      <c r="L274" s="8">
        <v>337.8864621863313</v>
      </c>
      <c r="M274" s="5">
        <f>Tabela2[[#This Row],[Lucro]]/Tabela2[[#This Row],[Receita]]</f>
        <v>0.30233435893020283</v>
      </c>
    </row>
    <row r="275" spans="1:13" x14ac:dyDescent="0.3">
      <c r="A275" s="1">
        <v>45254</v>
      </c>
      <c r="B275" t="str">
        <f>TEXT(Tabela2[[#This Row],[Data]],"mmm")</f>
        <v>nov</v>
      </c>
      <c r="C275">
        <f>YEAR(Tabela2[[#This Row],[Data]])</f>
        <v>2023</v>
      </c>
      <c r="D275" t="s">
        <v>14</v>
      </c>
      <c r="E275" t="s">
        <v>15</v>
      </c>
      <c r="F275" t="s">
        <v>12</v>
      </c>
      <c r="G275" t="s">
        <v>20</v>
      </c>
      <c r="H275">
        <v>2</v>
      </c>
      <c r="I275" s="8">
        <v>83.216048407965388</v>
      </c>
      <c r="J275" s="8">
        <v>166.43209681593081</v>
      </c>
      <c r="K275" s="8">
        <v>94.209714003211189</v>
      </c>
      <c r="L275" s="8">
        <v>72.222382812719587</v>
      </c>
      <c r="M275" s="5">
        <f>Tabela2[[#This Row],[Lucro]]/Tabela2[[#This Row],[Receita]]</f>
        <v>0.43394503941505647</v>
      </c>
    </row>
    <row r="276" spans="1:13" x14ac:dyDescent="0.3">
      <c r="A276" s="1">
        <v>45261</v>
      </c>
      <c r="B276" t="str">
        <f>TEXT(Tabela2[[#This Row],[Data]],"mmm")</f>
        <v>dez</v>
      </c>
      <c r="C276">
        <f>YEAR(Tabela2[[#This Row],[Data]])</f>
        <v>2023</v>
      </c>
      <c r="D276" t="s">
        <v>18</v>
      </c>
      <c r="E276" t="s">
        <v>15</v>
      </c>
      <c r="F276" t="s">
        <v>19</v>
      </c>
      <c r="G276" t="s">
        <v>20</v>
      </c>
      <c r="H276">
        <v>3</v>
      </c>
      <c r="I276" s="8">
        <v>482.03325630282262</v>
      </c>
      <c r="J276" s="8">
        <v>1446.0997689084679</v>
      </c>
      <c r="K276" s="8">
        <v>1118.86041143129</v>
      </c>
      <c r="L276" s="8">
        <v>327.23935747717769</v>
      </c>
      <c r="M276" s="5">
        <f>Tabela2[[#This Row],[Lucro]]/Tabela2[[#This Row],[Receita]]</f>
        <v>0.22629099631499255</v>
      </c>
    </row>
    <row r="277" spans="1:13" x14ac:dyDescent="0.3">
      <c r="A277" s="1">
        <v>45262</v>
      </c>
      <c r="B277" t="str">
        <f>TEXT(Tabela2[[#This Row],[Data]],"mmm")</f>
        <v>dez</v>
      </c>
      <c r="C277">
        <f>YEAR(Tabela2[[#This Row],[Data]])</f>
        <v>2023</v>
      </c>
      <c r="D277" t="s">
        <v>14</v>
      </c>
      <c r="E277" t="s">
        <v>15</v>
      </c>
      <c r="F277" t="s">
        <v>19</v>
      </c>
      <c r="G277" t="s">
        <v>25</v>
      </c>
      <c r="H277">
        <v>8</v>
      </c>
      <c r="I277" s="8">
        <v>341.09574719887189</v>
      </c>
      <c r="J277" s="8">
        <v>2728.765977590976</v>
      </c>
      <c r="K277" s="8">
        <v>2080.125428916157</v>
      </c>
      <c r="L277" s="8">
        <v>648.64054867481855</v>
      </c>
      <c r="M277" s="5">
        <f>Tabela2[[#This Row],[Lucro]]/Tabela2[[#This Row],[Receita]]</f>
        <v>0.23770471854367478</v>
      </c>
    </row>
    <row r="278" spans="1:13" x14ac:dyDescent="0.3">
      <c r="A278" s="1">
        <v>45263</v>
      </c>
      <c r="B278" t="str">
        <f>TEXT(Tabela2[[#This Row],[Data]],"mmm")</f>
        <v>dez</v>
      </c>
      <c r="C278">
        <f>YEAR(Tabela2[[#This Row],[Data]])</f>
        <v>2023</v>
      </c>
      <c r="D278" t="s">
        <v>10</v>
      </c>
      <c r="E278" t="s">
        <v>11</v>
      </c>
      <c r="F278" t="s">
        <v>19</v>
      </c>
      <c r="G278" t="s">
        <v>17</v>
      </c>
      <c r="H278">
        <v>5</v>
      </c>
      <c r="I278" s="8">
        <v>729.42911853929832</v>
      </c>
      <c r="J278" s="8">
        <v>3647.1455926964918</v>
      </c>
      <c r="K278" s="8">
        <v>2761.64792071695</v>
      </c>
      <c r="L278" s="8">
        <v>885.49767197954134</v>
      </c>
      <c r="M278" s="5">
        <f>Tabela2[[#This Row],[Lucro]]/Tabela2[[#This Row],[Receita]]</f>
        <v>0.24279197237225036</v>
      </c>
    </row>
    <row r="279" spans="1:13" x14ac:dyDescent="0.3">
      <c r="A279" s="1">
        <v>45264</v>
      </c>
      <c r="B279" t="str">
        <f>TEXT(Tabela2[[#This Row],[Data]],"mmm")</f>
        <v>dez</v>
      </c>
      <c r="C279">
        <f>YEAR(Tabela2[[#This Row],[Data]])</f>
        <v>2023</v>
      </c>
      <c r="D279" t="s">
        <v>18</v>
      </c>
      <c r="E279" t="s">
        <v>15</v>
      </c>
      <c r="F279" t="s">
        <v>16</v>
      </c>
      <c r="G279" t="s">
        <v>17</v>
      </c>
      <c r="H279">
        <v>9</v>
      </c>
      <c r="I279" s="8">
        <v>157.22169708832939</v>
      </c>
      <c r="J279" s="8">
        <v>1414.995273794965</v>
      </c>
      <c r="K279" s="8">
        <v>715.17060312390856</v>
      </c>
      <c r="L279" s="8">
        <v>699.82467067105597</v>
      </c>
      <c r="M279" s="5">
        <f>Tabela2[[#This Row],[Lucro]]/Tabela2[[#This Row],[Receita]]</f>
        <v>0.49457739091534353</v>
      </c>
    </row>
    <row r="280" spans="1:13" x14ac:dyDescent="0.3">
      <c r="A280" s="1">
        <v>45266</v>
      </c>
      <c r="B280" t="str">
        <f>TEXT(Tabela2[[#This Row],[Data]],"mmm")</f>
        <v>dez</v>
      </c>
      <c r="C280">
        <f>YEAR(Tabela2[[#This Row],[Data]])</f>
        <v>2023</v>
      </c>
      <c r="D280" t="s">
        <v>10</v>
      </c>
      <c r="E280" t="s">
        <v>11</v>
      </c>
      <c r="F280" t="s">
        <v>24</v>
      </c>
      <c r="G280" t="s">
        <v>13</v>
      </c>
      <c r="H280">
        <v>1</v>
      </c>
      <c r="I280" s="8">
        <v>377.43725458338298</v>
      </c>
      <c r="J280" s="8">
        <v>377.43725458338298</v>
      </c>
      <c r="K280" s="8">
        <v>250.49945819589351</v>
      </c>
      <c r="L280" s="8">
        <v>126.9377963874895</v>
      </c>
      <c r="M280" s="5">
        <f>Tabela2[[#This Row],[Lucro]]/Tabela2[[#This Row],[Receita]]</f>
        <v>0.33631496320521947</v>
      </c>
    </row>
    <row r="281" spans="1:13" x14ac:dyDescent="0.3">
      <c r="A281" s="1">
        <v>45267</v>
      </c>
      <c r="B281" t="str">
        <f>TEXT(Tabela2[[#This Row],[Data]],"mmm")</f>
        <v>dez</v>
      </c>
      <c r="C281">
        <f>YEAR(Tabela2[[#This Row],[Data]])</f>
        <v>2023</v>
      </c>
      <c r="D281" t="s">
        <v>10</v>
      </c>
      <c r="E281" t="s">
        <v>11</v>
      </c>
      <c r="F281" t="s">
        <v>21</v>
      </c>
      <c r="G281" t="s">
        <v>17</v>
      </c>
      <c r="H281">
        <v>7</v>
      </c>
      <c r="I281" s="8">
        <v>57.485960873686309</v>
      </c>
      <c r="J281" s="8">
        <v>402.40172611580419</v>
      </c>
      <c r="K281" s="8">
        <v>315.78222727624859</v>
      </c>
      <c r="L281" s="8">
        <v>86.619498839555604</v>
      </c>
      <c r="M281" s="5">
        <f>Tabela2[[#This Row],[Lucro]]/Tabela2[[#This Row],[Receita]]</f>
        <v>0.21525628052258411</v>
      </c>
    </row>
    <row r="282" spans="1:13" x14ac:dyDescent="0.3">
      <c r="A282" s="1">
        <v>45268</v>
      </c>
      <c r="B282" t="str">
        <f>TEXT(Tabela2[[#This Row],[Data]],"mmm")</f>
        <v>dez</v>
      </c>
      <c r="C282">
        <f>YEAR(Tabela2[[#This Row],[Data]])</f>
        <v>2023</v>
      </c>
      <c r="D282" t="s">
        <v>14</v>
      </c>
      <c r="E282" t="s">
        <v>15</v>
      </c>
      <c r="F282" t="s">
        <v>21</v>
      </c>
      <c r="G282" t="s">
        <v>20</v>
      </c>
      <c r="H282">
        <v>6</v>
      </c>
      <c r="I282" s="8">
        <v>480.84994324382842</v>
      </c>
      <c r="J282" s="8">
        <v>2885.0996594629701</v>
      </c>
      <c r="K282" s="8">
        <v>1468.9487079452911</v>
      </c>
      <c r="L282" s="8">
        <v>1416.150951517679</v>
      </c>
      <c r="M282" s="5">
        <f>Tabela2[[#This Row],[Lucro]]/Tabela2[[#This Row],[Receita]]</f>
        <v>0.49084992501828517</v>
      </c>
    </row>
    <row r="283" spans="1:13" x14ac:dyDescent="0.3">
      <c r="A283" s="1">
        <v>45268</v>
      </c>
      <c r="B283" t="str">
        <f>TEXT(Tabela2[[#This Row],[Data]],"mmm")</f>
        <v>dez</v>
      </c>
      <c r="C283">
        <f>YEAR(Tabela2[[#This Row],[Data]])</f>
        <v>2023</v>
      </c>
      <c r="D283" t="s">
        <v>18</v>
      </c>
      <c r="E283" t="s">
        <v>15</v>
      </c>
      <c r="F283" t="s">
        <v>19</v>
      </c>
      <c r="G283" t="s">
        <v>20</v>
      </c>
      <c r="H283">
        <v>6</v>
      </c>
      <c r="I283" s="8">
        <v>455.0710655486194</v>
      </c>
      <c r="J283" s="8">
        <v>2730.426393291717</v>
      </c>
      <c r="K283" s="8">
        <v>1963.709427874647</v>
      </c>
      <c r="L283" s="8">
        <v>766.7169654170691</v>
      </c>
      <c r="M283" s="5">
        <f>Tabela2[[#This Row],[Lucro]]/Tabela2[[#This Row],[Receita]]</f>
        <v>0.2808048469282261</v>
      </c>
    </row>
    <row r="284" spans="1:13" x14ac:dyDescent="0.3">
      <c r="A284" s="1">
        <v>45271</v>
      </c>
      <c r="B284" t="str">
        <f>TEXT(Tabela2[[#This Row],[Data]],"mmm")</f>
        <v>dez</v>
      </c>
      <c r="C284">
        <f>YEAR(Tabela2[[#This Row],[Data]])</f>
        <v>2023</v>
      </c>
      <c r="D284" t="s">
        <v>26</v>
      </c>
      <c r="E284" t="s">
        <v>11</v>
      </c>
      <c r="F284" t="s">
        <v>19</v>
      </c>
      <c r="G284" t="s">
        <v>20</v>
      </c>
      <c r="H284">
        <v>3</v>
      </c>
      <c r="I284" s="8">
        <v>3300.846489479396</v>
      </c>
      <c r="J284" s="8">
        <v>9902.5394684381899</v>
      </c>
      <c r="K284" s="8">
        <v>5917.3319679377919</v>
      </c>
      <c r="L284" s="8">
        <v>3985.2075005003981</v>
      </c>
      <c r="M284" s="5">
        <f>Tabela2[[#This Row],[Lucro]]/Tabela2[[#This Row],[Receita]]</f>
        <v>0.40244298073259155</v>
      </c>
    </row>
    <row r="285" spans="1:13" x14ac:dyDescent="0.3">
      <c r="A285" s="1">
        <v>45271</v>
      </c>
      <c r="B285" t="str">
        <f>TEXT(Tabela2[[#This Row],[Data]],"mmm")</f>
        <v>dez</v>
      </c>
      <c r="C285">
        <f>YEAR(Tabela2[[#This Row],[Data]])</f>
        <v>2023</v>
      </c>
      <c r="D285" t="s">
        <v>26</v>
      </c>
      <c r="E285" t="s">
        <v>11</v>
      </c>
      <c r="F285" t="s">
        <v>21</v>
      </c>
      <c r="G285" t="s">
        <v>25</v>
      </c>
      <c r="H285">
        <v>8</v>
      </c>
      <c r="I285" s="8">
        <v>77.334479761831872</v>
      </c>
      <c r="J285" s="8">
        <v>618.67583809465498</v>
      </c>
      <c r="K285" s="8">
        <v>460.68980385227519</v>
      </c>
      <c r="L285" s="8">
        <v>157.98603424237979</v>
      </c>
      <c r="M285" s="5">
        <f>Tabela2[[#This Row],[Lucro]]/Tabela2[[#This Row],[Receita]]</f>
        <v>0.25536157146354976</v>
      </c>
    </row>
    <row r="286" spans="1:13" x14ac:dyDescent="0.3">
      <c r="A286" s="1">
        <v>45272</v>
      </c>
      <c r="B286" t="str">
        <f>TEXT(Tabela2[[#This Row],[Data]],"mmm")</f>
        <v>dez</v>
      </c>
      <c r="C286">
        <f>YEAR(Tabela2[[#This Row],[Data]])</f>
        <v>2023</v>
      </c>
      <c r="D286" t="s">
        <v>18</v>
      </c>
      <c r="E286" t="s">
        <v>15</v>
      </c>
      <c r="F286" t="s">
        <v>21</v>
      </c>
      <c r="G286" t="s">
        <v>20</v>
      </c>
      <c r="H286">
        <v>9</v>
      </c>
      <c r="I286" s="8">
        <v>91.986657258421943</v>
      </c>
      <c r="J286" s="8">
        <v>827.87991532579747</v>
      </c>
      <c r="K286" s="8">
        <v>533.43914009011519</v>
      </c>
      <c r="L286" s="8">
        <v>294.44077523568228</v>
      </c>
      <c r="M286" s="5">
        <f>Tabela2[[#This Row],[Lucro]]/Tabela2[[#This Row],[Receita]]</f>
        <v>0.35565638178311204</v>
      </c>
    </row>
    <row r="287" spans="1:13" x14ac:dyDescent="0.3">
      <c r="A287" s="1">
        <v>45273</v>
      </c>
      <c r="B287" t="str">
        <f>TEXT(Tabela2[[#This Row],[Data]],"mmm")</f>
        <v>dez</v>
      </c>
      <c r="C287">
        <f>YEAR(Tabela2[[#This Row],[Data]])</f>
        <v>2023</v>
      </c>
      <c r="D287" t="s">
        <v>26</v>
      </c>
      <c r="E287" t="s">
        <v>11</v>
      </c>
      <c r="F287" t="s">
        <v>16</v>
      </c>
      <c r="G287" t="s">
        <v>13</v>
      </c>
      <c r="H287">
        <v>3</v>
      </c>
      <c r="I287" s="8">
        <v>1278.7208916479019</v>
      </c>
      <c r="J287" s="8">
        <v>3836.162674943705</v>
      </c>
      <c r="K287" s="8">
        <v>2582.8483801140901</v>
      </c>
      <c r="L287" s="8">
        <v>1253.3142948296161</v>
      </c>
      <c r="M287" s="5">
        <f>Tabela2[[#This Row],[Lucro]]/Tabela2[[#This Row],[Receita]]</f>
        <v>0.3267104137725359</v>
      </c>
    </row>
    <row r="288" spans="1:13" x14ac:dyDescent="0.3">
      <c r="A288" s="1">
        <v>45274</v>
      </c>
      <c r="B288" t="str">
        <f>TEXT(Tabela2[[#This Row],[Data]],"mmm")</f>
        <v>dez</v>
      </c>
      <c r="C288">
        <f>YEAR(Tabela2[[#This Row],[Data]])</f>
        <v>2023</v>
      </c>
      <c r="D288" t="s">
        <v>26</v>
      </c>
      <c r="E288" t="s">
        <v>11</v>
      </c>
      <c r="F288" t="s">
        <v>21</v>
      </c>
      <c r="G288" t="s">
        <v>22</v>
      </c>
      <c r="H288">
        <v>9</v>
      </c>
      <c r="I288" s="8">
        <v>3256.0660966797441</v>
      </c>
      <c r="J288" s="8">
        <v>29304.594870117689</v>
      </c>
      <c r="K288" s="8">
        <v>14656.872266167091</v>
      </c>
      <c r="L288" s="8">
        <v>14647.722603950609</v>
      </c>
      <c r="M288" s="5">
        <f>Tabela2[[#This Row],[Lucro]]/Tabela2[[#This Row],[Receita]]</f>
        <v>0.49984388690140535</v>
      </c>
    </row>
    <row r="289" spans="1:13" x14ac:dyDescent="0.3">
      <c r="A289" s="1">
        <v>45275</v>
      </c>
      <c r="B289" t="str">
        <f>TEXT(Tabela2[[#This Row],[Data]],"mmm")</f>
        <v>dez</v>
      </c>
      <c r="C289">
        <f>YEAR(Tabela2[[#This Row],[Data]])</f>
        <v>2023</v>
      </c>
      <c r="D289" t="s">
        <v>14</v>
      </c>
      <c r="E289" t="s">
        <v>15</v>
      </c>
      <c r="F289" t="s">
        <v>24</v>
      </c>
      <c r="G289" t="s">
        <v>13</v>
      </c>
      <c r="H289">
        <v>8</v>
      </c>
      <c r="I289" s="8">
        <v>536.44736788312036</v>
      </c>
      <c r="J289" s="8">
        <v>4291.5789430649629</v>
      </c>
      <c r="K289" s="8">
        <v>2845.8905049058312</v>
      </c>
      <c r="L289" s="8">
        <v>1445.6884381591319</v>
      </c>
      <c r="M289" s="5">
        <f>Tabela2[[#This Row],[Lucro]]/Tabela2[[#This Row],[Receita]]</f>
        <v>0.33686632760078022</v>
      </c>
    </row>
    <row r="290" spans="1:13" x14ac:dyDescent="0.3">
      <c r="A290" s="1">
        <v>45275</v>
      </c>
      <c r="B290" t="str">
        <f>TEXT(Tabela2[[#This Row],[Data]],"mmm")</f>
        <v>dez</v>
      </c>
      <c r="C290">
        <f>YEAR(Tabela2[[#This Row],[Data]])</f>
        <v>2023</v>
      </c>
      <c r="D290" t="s">
        <v>14</v>
      </c>
      <c r="E290" t="s">
        <v>15</v>
      </c>
      <c r="F290" t="s">
        <v>19</v>
      </c>
      <c r="G290" t="s">
        <v>20</v>
      </c>
      <c r="H290">
        <v>3</v>
      </c>
      <c r="I290" s="8">
        <v>611.1199661622079</v>
      </c>
      <c r="J290" s="8">
        <v>1833.3598984866239</v>
      </c>
      <c r="K290" s="8">
        <v>924.59648269924708</v>
      </c>
      <c r="L290" s="8">
        <v>908.76341578737663</v>
      </c>
      <c r="M290" s="5">
        <f>Tabela2[[#This Row],[Lucro]]/Tabela2[[#This Row],[Receita]]</f>
        <v>0.49568195341107318</v>
      </c>
    </row>
    <row r="291" spans="1:13" x14ac:dyDescent="0.3">
      <c r="A291" s="1">
        <v>45278</v>
      </c>
      <c r="B291" t="str">
        <f>TEXT(Tabela2[[#This Row],[Data]],"mmm")</f>
        <v>dez</v>
      </c>
      <c r="C291">
        <f>YEAR(Tabela2[[#This Row],[Data]])</f>
        <v>2023</v>
      </c>
      <c r="D291" t="s">
        <v>10</v>
      </c>
      <c r="E291" t="s">
        <v>11</v>
      </c>
      <c r="F291" t="s">
        <v>24</v>
      </c>
      <c r="G291" t="s">
        <v>25</v>
      </c>
      <c r="H291">
        <v>1</v>
      </c>
      <c r="I291" s="8">
        <v>621.36774817506569</v>
      </c>
      <c r="J291" s="8">
        <v>621.36774817506569</v>
      </c>
      <c r="K291" s="8">
        <v>442.76901136348118</v>
      </c>
      <c r="L291" s="8">
        <v>178.59873681158439</v>
      </c>
      <c r="M291" s="5">
        <f>Tabela2[[#This Row],[Lucro]]/Tabela2[[#This Row],[Receita]]</f>
        <v>0.28742839861921116</v>
      </c>
    </row>
    <row r="292" spans="1:13" x14ac:dyDescent="0.3">
      <c r="A292" s="1">
        <v>45279</v>
      </c>
      <c r="B292" t="str">
        <f>TEXT(Tabela2[[#This Row],[Data]],"mmm")</f>
        <v>dez</v>
      </c>
      <c r="C292">
        <f>YEAR(Tabela2[[#This Row],[Data]])</f>
        <v>2023</v>
      </c>
      <c r="D292" t="s">
        <v>18</v>
      </c>
      <c r="E292" t="s">
        <v>15</v>
      </c>
      <c r="F292" t="s">
        <v>21</v>
      </c>
      <c r="G292" t="s">
        <v>22</v>
      </c>
      <c r="H292">
        <v>9</v>
      </c>
      <c r="I292" s="8">
        <v>293.48900634316101</v>
      </c>
      <c r="J292" s="8">
        <v>2641.4010570884489</v>
      </c>
      <c r="K292" s="8">
        <v>1347.011346542266</v>
      </c>
      <c r="L292" s="8">
        <v>1294.3897105461831</v>
      </c>
      <c r="M292" s="5">
        <f>Tabela2[[#This Row],[Lucro]]/Tabela2[[#This Row],[Receita]]</f>
        <v>0.49003906736259012</v>
      </c>
    </row>
    <row r="293" spans="1:13" x14ac:dyDescent="0.3">
      <c r="A293" s="1">
        <v>45280</v>
      </c>
      <c r="B293" t="str">
        <f>TEXT(Tabela2[[#This Row],[Data]],"mmm")</f>
        <v>dez</v>
      </c>
      <c r="C293">
        <f>YEAR(Tabela2[[#This Row],[Data]])</f>
        <v>2023</v>
      </c>
      <c r="D293" t="s">
        <v>10</v>
      </c>
      <c r="E293" t="s">
        <v>11</v>
      </c>
      <c r="F293" t="s">
        <v>12</v>
      </c>
      <c r="G293" t="s">
        <v>13</v>
      </c>
      <c r="H293">
        <v>6</v>
      </c>
      <c r="I293" s="8">
        <v>241.00749964715371</v>
      </c>
      <c r="J293" s="8">
        <v>1446.044997882922</v>
      </c>
      <c r="K293" s="8">
        <v>731.01669209259887</v>
      </c>
      <c r="L293" s="8">
        <v>715.02830579032309</v>
      </c>
      <c r="M293" s="5">
        <f>Tabela2[[#This Row],[Lucro]]/Tabela2[[#This Row],[Receita]]</f>
        <v>0.49447168437853473</v>
      </c>
    </row>
    <row r="294" spans="1:13" x14ac:dyDescent="0.3">
      <c r="A294" s="1">
        <v>45282</v>
      </c>
      <c r="B294" t="str">
        <f>TEXT(Tabela2[[#This Row],[Data]],"mmm")</f>
        <v>dez</v>
      </c>
      <c r="C294">
        <f>YEAR(Tabela2[[#This Row],[Data]])</f>
        <v>2023</v>
      </c>
      <c r="D294" t="s">
        <v>23</v>
      </c>
      <c r="E294" t="s">
        <v>15</v>
      </c>
      <c r="F294" t="s">
        <v>16</v>
      </c>
      <c r="G294" t="s">
        <v>13</v>
      </c>
      <c r="H294">
        <v>1</v>
      </c>
      <c r="I294" s="8">
        <v>307.99977557771899</v>
      </c>
      <c r="J294" s="8">
        <v>307.99977557771899</v>
      </c>
      <c r="K294" s="8">
        <v>195.974217837548</v>
      </c>
      <c r="L294" s="8">
        <v>112.025557740171</v>
      </c>
      <c r="M294" s="5">
        <f>Tabela2[[#This Row],[Lucro]]/Tabela2[[#This Row],[Receita]]</f>
        <v>0.36371960833426997</v>
      </c>
    </row>
    <row r="295" spans="1:13" x14ac:dyDescent="0.3">
      <c r="A295" s="1">
        <v>45285</v>
      </c>
      <c r="B295" t="str">
        <f>TEXT(Tabela2[[#This Row],[Data]],"mmm")</f>
        <v>dez</v>
      </c>
      <c r="C295">
        <f>YEAR(Tabela2[[#This Row],[Data]])</f>
        <v>2023</v>
      </c>
      <c r="D295" t="s">
        <v>10</v>
      </c>
      <c r="E295" t="s">
        <v>11</v>
      </c>
      <c r="F295" t="s">
        <v>19</v>
      </c>
      <c r="G295" t="s">
        <v>17</v>
      </c>
      <c r="H295">
        <v>4</v>
      </c>
      <c r="I295" s="8">
        <v>531.46446459809192</v>
      </c>
      <c r="J295" s="8">
        <v>2125.8578583923681</v>
      </c>
      <c r="K295" s="8">
        <v>1603.7572993058841</v>
      </c>
      <c r="L295" s="8">
        <v>522.1005590864836</v>
      </c>
      <c r="M295" s="5">
        <f>Tabela2[[#This Row],[Lucro]]/Tabela2[[#This Row],[Receita]]</f>
        <v>0.24559523442517944</v>
      </c>
    </row>
    <row r="296" spans="1:13" x14ac:dyDescent="0.3">
      <c r="A296" s="1">
        <v>45285</v>
      </c>
      <c r="B296" t="str">
        <f>TEXT(Tabela2[[#This Row],[Data]],"mmm")</f>
        <v>dez</v>
      </c>
      <c r="C296">
        <f>YEAR(Tabela2[[#This Row],[Data]])</f>
        <v>2023</v>
      </c>
      <c r="D296" t="s">
        <v>14</v>
      </c>
      <c r="E296" t="s">
        <v>15</v>
      </c>
      <c r="F296" t="s">
        <v>21</v>
      </c>
      <c r="G296" t="s">
        <v>20</v>
      </c>
      <c r="H296">
        <v>3</v>
      </c>
      <c r="I296" s="8">
        <v>44.514764835652713</v>
      </c>
      <c r="J296" s="8">
        <v>133.5442945069581</v>
      </c>
      <c r="K296" s="8">
        <v>92.268841070210456</v>
      </c>
      <c r="L296" s="8">
        <v>41.275453436747668</v>
      </c>
      <c r="M296" s="5">
        <f>Tabela2[[#This Row],[Lucro]]/Tabela2[[#This Row],[Receita]]</f>
        <v>0.30907687662086591</v>
      </c>
    </row>
    <row r="297" spans="1:13" x14ac:dyDescent="0.3">
      <c r="A297" s="1">
        <v>45286</v>
      </c>
      <c r="B297" t="str">
        <f>TEXT(Tabela2[[#This Row],[Data]],"mmm")</f>
        <v>dez</v>
      </c>
      <c r="C297">
        <f>YEAR(Tabela2[[#This Row],[Data]])</f>
        <v>2023</v>
      </c>
      <c r="D297" t="s">
        <v>18</v>
      </c>
      <c r="E297" t="s">
        <v>15</v>
      </c>
      <c r="F297" t="s">
        <v>16</v>
      </c>
      <c r="G297" t="s">
        <v>25</v>
      </c>
      <c r="H297">
        <v>8</v>
      </c>
      <c r="I297" s="8">
        <v>414.59316952988348</v>
      </c>
      <c r="J297" s="8">
        <v>3316.7453562390679</v>
      </c>
      <c r="K297" s="8">
        <v>2266.784076898708</v>
      </c>
      <c r="L297" s="8">
        <v>1049.9612793403601</v>
      </c>
      <c r="M297" s="5">
        <f>Tabela2[[#This Row],[Lucro]]/Tabela2[[#This Row],[Receita]]</f>
        <v>0.31656372936960553</v>
      </c>
    </row>
    <row r="298" spans="1:13" x14ac:dyDescent="0.3">
      <c r="A298" s="1">
        <v>45287</v>
      </c>
      <c r="B298" t="str">
        <f>TEXT(Tabela2[[#This Row],[Data]],"mmm")</f>
        <v>dez</v>
      </c>
      <c r="C298">
        <f>YEAR(Tabela2[[#This Row],[Data]])</f>
        <v>2023</v>
      </c>
      <c r="D298" t="s">
        <v>26</v>
      </c>
      <c r="E298" t="s">
        <v>11</v>
      </c>
      <c r="F298" t="s">
        <v>16</v>
      </c>
      <c r="G298" t="s">
        <v>17</v>
      </c>
      <c r="H298">
        <v>9</v>
      </c>
      <c r="I298" s="8">
        <v>1905.6093686423351</v>
      </c>
      <c r="J298" s="8">
        <v>17150.484317781011</v>
      </c>
      <c r="K298" s="8">
        <v>10045.272355443771</v>
      </c>
      <c r="L298" s="8">
        <v>7105.2119623372419</v>
      </c>
      <c r="M298" s="5">
        <f>Tabela2[[#This Row],[Lucro]]/Tabela2[[#This Row],[Receita]]</f>
        <v>0.41428637411544184</v>
      </c>
    </row>
    <row r="299" spans="1:13" x14ac:dyDescent="0.3">
      <c r="A299" s="1">
        <v>45287</v>
      </c>
      <c r="B299" t="str">
        <f>TEXT(Tabela2[[#This Row],[Data]],"mmm")</f>
        <v>dez</v>
      </c>
      <c r="C299">
        <f>YEAR(Tabela2[[#This Row],[Data]])</f>
        <v>2023</v>
      </c>
      <c r="D299" t="s">
        <v>26</v>
      </c>
      <c r="E299" t="s">
        <v>11</v>
      </c>
      <c r="F299" t="s">
        <v>21</v>
      </c>
      <c r="G299" t="s">
        <v>25</v>
      </c>
      <c r="H299">
        <v>9</v>
      </c>
      <c r="I299" s="8">
        <v>1634.2455251015281</v>
      </c>
      <c r="J299" s="8">
        <v>14708.20972591375</v>
      </c>
      <c r="K299" s="8">
        <v>11305.56790070173</v>
      </c>
      <c r="L299" s="8">
        <v>3402.6418252120261</v>
      </c>
      <c r="M299" s="5">
        <f>Tabela2[[#This Row],[Lucro]]/Tabela2[[#This Row],[Receita]]</f>
        <v>0.23134303145113988</v>
      </c>
    </row>
    <row r="300" spans="1:13" x14ac:dyDescent="0.3">
      <c r="A300" s="1">
        <v>45290</v>
      </c>
      <c r="B300" t="str">
        <f>TEXT(Tabela2[[#This Row],[Data]],"mmm")</f>
        <v>dez</v>
      </c>
      <c r="C300">
        <f>YEAR(Tabela2[[#This Row],[Data]])</f>
        <v>2023</v>
      </c>
      <c r="D300" t="s">
        <v>14</v>
      </c>
      <c r="E300" t="s">
        <v>15</v>
      </c>
      <c r="F300" t="s">
        <v>24</v>
      </c>
      <c r="G300" t="s">
        <v>20</v>
      </c>
      <c r="H300">
        <v>3</v>
      </c>
      <c r="I300" s="8">
        <v>106.73403619879809</v>
      </c>
      <c r="J300" s="8">
        <v>320.20210859639423</v>
      </c>
      <c r="K300" s="8">
        <v>207.42293344063259</v>
      </c>
      <c r="L300" s="8">
        <v>112.77917515576161</v>
      </c>
      <c r="M300" s="5">
        <f>Tabela2[[#This Row],[Lucro]]/Tabela2[[#This Row],[Receita]]</f>
        <v>0.35221246871274225</v>
      </c>
    </row>
    <row r="301" spans="1:13" x14ac:dyDescent="0.3">
      <c r="A301" s="1">
        <v>45291</v>
      </c>
      <c r="B301" t="str">
        <f>TEXT(Tabela2[[#This Row],[Data]],"mmm")</f>
        <v>dez</v>
      </c>
      <c r="C301">
        <f>YEAR(Tabela2[[#This Row],[Data]])</f>
        <v>2023</v>
      </c>
      <c r="D301" t="s">
        <v>18</v>
      </c>
      <c r="E301" t="s">
        <v>15</v>
      </c>
      <c r="F301" t="s">
        <v>24</v>
      </c>
      <c r="G301" t="s">
        <v>22</v>
      </c>
      <c r="H301">
        <v>7</v>
      </c>
      <c r="I301" s="8">
        <v>453.52913352100012</v>
      </c>
      <c r="J301" s="8">
        <v>3174.703934647001</v>
      </c>
      <c r="K301" s="8">
        <v>2038.0425744597751</v>
      </c>
      <c r="L301" s="8">
        <v>1136.6613601872259</v>
      </c>
      <c r="M301" s="5">
        <f>Tabela2[[#This Row],[Lucro]]/Tabela2[[#This Row],[Receita]]</f>
        <v>0.35803696457559991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D833-0FB5-4D1D-924C-CA19F7ECF0EA}">
  <dimension ref="A3:K88"/>
  <sheetViews>
    <sheetView zoomScale="55" zoomScaleNormal="55" workbookViewId="0">
      <selection activeCell="B8" sqref="B8"/>
    </sheetView>
  </sheetViews>
  <sheetFormatPr defaultRowHeight="14.4" x14ac:dyDescent="0.3"/>
  <cols>
    <col min="1" max="1" width="24.5546875" bestFit="1" customWidth="1"/>
    <col min="2" max="2" width="20.88671875" bestFit="1" customWidth="1"/>
    <col min="3" max="3" width="25.5546875" bestFit="1" customWidth="1"/>
    <col min="10" max="10" width="14.21875" bestFit="1" customWidth="1"/>
    <col min="11" max="11" width="22.88671875" bestFit="1" customWidth="1"/>
    <col min="12" max="12" width="15.6640625" bestFit="1" customWidth="1"/>
  </cols>
  <sheetData>
    <row r="3" spans="1:11" x14ac:dyDescent="0.3">
      <c r="A3" t="s">
        <v>52</v>
      </c>
      <c r="B3" s="9">
        <f>A4</f>
        <v>450582.25820579909</v>
      </c>
    </row>
    <row r="4" spans="1:11" x14ac:dyDescent="0.3">
      <c r="A4" s="9">
        <v>450582.25820579909</v>
      </c>
      <c r="J4" s="10" t="s">
        <v>46</v>
      </c>
      <c r="K4" t="s">
        <v>44</v>
      </c>
    </row>
    <row r="5" spans="1:11" x14ac:dyDescent="0.3">
      <c r="J5" s="11" t="s">
        <v>15</v>
      </c>
      <c r="K5" s="9">
        <v>352047.75097997859</v>
      </c>
    </row>
    <row r="6" spans="1:11" x14ac:dyDescent="0.3">
      <c r="J6" s="11" t="s">
        <v>11</v>
      </c>
      <c r="K6" s="9">
        <v>917584.48849562381</v>
      </c>
    </row>
    <row r="7" spans="1:11" x14ac:dyDescent="0.3">
      <c r="J7" s="11" t="s">
        <v>43</v>
      </c>
      <c r="K7" s="9">
        <v>1269632.2394756023</v>
      </c>
    </row>
    <row r="8" spans="1:11" x14ac:dyDescent="0.3">
      <c r="A8" t="s">
        <v>44</v>
      </c>
      <c r="B8" s="9">
        <f>A9</f>
        <v>1269632.2394756023</v>
      </c>
    </row>
    <row r="9" spans="1:11" x14ac:dyDescent="0.3">
      <c r="A9" s="9">
        <v>1269632.2394756023</v>
      </c>
    </row>
    <row r="12" spans="1:11" x14ac:dyDescent="0.3">
      <c r="A12" t="s">
        <v>48</v>
      </c>
      <c r="B12" s="5">
        <f>A13</f>
        <v>0.35137443835532112</v>
      </c>
    </row>
    <row r="13" spans="1:11" x14ac:dyDescent="0.3">
      <c r="A13" s="5">
        <v>0.35137443835532112</v>
      </c>
    </row>
    <row r="16" spans="1:11" x14ac:dyDescent="0.3">
      <c r="A16" t="s">
        <v>49</v>
      </c>
      <c r="B16" s="9">
        <f>A17</f>
        <v>4232.1074649186739</v>
      </c>
    </row>
    <row r="17" spans="1:11" x14ac:dyDescent="0.3">
      <c r="A17" s="9">
        <v>4232.1074649186739</v>
      </c>
    </row>
    <row r="20" spans="1:11" x14ac:dyDescent="0.3">
      <c r="J20" s="10" t="s">
        <v>27</v>
      </c>
      <c r="K20" t="s">
        <v>44</v>
      </c>
    </row>
    <row r="21" spans="1:11" x14ac:dyDescent="0.3">
      <c r="A21" s="10" t="s">
        <v>30</v>
      </c>
      <c r="B21" t="s">
        <v>47</v>
      </c>
      <c r="J21" s="11" t="s">
        <v>12</v>
      </c>
      <c r="K21" s="9">
        <v>189209.35465251384</v>
      </c>
    </row>
    <row r="22" spans="1:11" x14ac:dyDescent="0.3">
      <c r="A22" s="11" t="s">
        <v>13</v>
      </c>
      <c r="B22" s="9">
        <v>71293.066326779692</v>
      </c>
      <c r="J22" s="11" t="s">
        <v>19</v>
      </c>
      <c r="K22" s="9">
        <v>253217.28898741381</v>
      </c>
    </row>
    <row r="23" spans="1:11" x14ac:dyDescent="0.3">
      <c r="A23" s="11" t="s">
        <v>20</v>
      </c>
      <c r="B23" s="9">
        <v>77651.346267611734</v>
      </c>
      <c r="J23" s="11" t="s">
        <v>16</v>
      </c>
      <c r="K23" s="9">
        <v>204996.71368614183</v>
      </c>
    </row>
    <row r="24" spans="1:11" x14ac:dyDescent="0.3">
      <c r="A24" s="11" t="s">
        <v>25</v>
      </c>
      <c r="B24" s="9">
        <v>91051.040390238559</v>
      </c>
      <c r="J24" s="11" t="s">
        <v>24</v>
      </c>
      <c r="K24" s="9">
        <v>260307.58200205816</v>
      </c>
    </row>
    <row r="25" spans="1:11" x14ac:dyDescent="0.3">
      <c r="A25" s="11" t="s">
        <v>17</v>
      </c>
      <c r="B25" s="9">
        <v>101919.17043534611</v>
      </c>
      <c r="J25" s="11" t="s">
        <v>21</v>
      </c>
      <c r="K25" s="9">
        <v>361901.30014747463</v>
      </c>
    </row>
    <row r="26" spans="1:11" x14ac:dyDescent="0.3">
      <c r="A26" s="11" t="s">
        <v>22</v>
      </c>
      <c r="B26" s="9">
        <v>108667.63478582285</v>
      </c>
      <c r="J26" s="11" t="s">
        <v>43</v>
      </c>
      <c r="K26" s="9">
        <v>1269632.2394756023</v>
      </c>
    </row>
    <row r="27" spans="1:11" x14ac:dyDescent="0.3">
      <c r="A27" s="11" t="s">
        <v>43</v>
      </c>
      <c r="B27" s="9">
        <v>450582.25820579892</v>
      </c>
    </row>
    <row r="30" spans="1:11" x14ac:dyDescent="0.3">
      <c r="A30" s="10" t="s">
        <v>30</v>
      </c>
      <c r="B30" t="s">
        <v>47</v>
      </c>
    </row>
    <row r="31" spans="1:11" x14ac:dyDescent="0.3">
      <c r="A31" s="11" t="s">
        <v>22</v>
      </c>
      <c r="B31" s="9">
        <v>108667.63478582285</v>
      </c>
    </row>
    <row r="32" spans="1:11" x14ac:dyDescent="0.3">
      <c r="A32" s="11" t="s">
        <v>20</v>
      </c>
      <c r="B32" s="9">
        <v>77651.346267611734</v>
      </c>
    </row>
    <row r="33" spans="1:11" x14ac:dyDescent="0.3">
      <c r="A33" s="11" t="s">
        <v>13</v>
      </c>
      <c r="B33" s="9">
        <v>71293.066326779692</v>
      </c>
    </row>
    <row r="34" spans="1:11" x14ac:dyDescent="0.3">
      <c r="A34" s="11" t="s">
        <v>25</v>
      </c>
      <c r="B34" s="9">
        <v>91051.040390238559</v>
      </c>
    </row>
    <row r="35" spans="1:11" x14ac:dyDescent="0.3">
      <c r="A35" s="11" t="s">
        <v>17</v>
      </c>
      <c r="B35" s="9">
        <v>101919.17043534611</v>
      </c>
    </row>
    <row r="36" spans="1:11" x14ac:dyDescent="0.3">
      <c r="A36" s="11" t="s">
        <v>43</v>
      </c>
      <c r="B36" s="9">
        <v>450582.25820579892</v>
      </c>
    </row>
    <row r="45" spans="1:11" x14ac:dyDescent="0.3">
      <c r="J45" s="10" t="s">
        <v>27</v>
      </c>
      <c r="K45" t="s">
        <v>44</v>
      </c>
    </row>
    <row r="46" spans="1:11" x14ac:dyDescent="0.3">
      <c r="J46" s="11" t="s">
        <v>31</v>
      </c>
      <c r="K46" s="9">
        <v>117208.99090355934</v>
      </c>
    </row>
    <row r="47" spans="1:11" x14ac:dyDescent="0.3">
      <c r="J47" s="11" t="s">
        <v>32</v>
      </c>
      <c r="K47" s="9">
        <v>141091.28694744478</v>
      </c>
    </row>
    <row r="48" spans="1:11" x14ac:dyDescent="0.3">
      <c r="J48" s="11" t="s">
        <v>33</v>
      </c>
      <c r="K48" s="9">
        <v>160545.87416633527</v>
      </c>
    </row>
    <row r="49" spans="10:11" x14ac:dyDescent="0.3">
      <c r="J49" s="11" t="s">
        <v>34</v>
      </c>
      <c r="K49" s="9">
        <v>79756.81135019903</v>
      </c>
    </row>
    <row r="50" spans="10:11" x14ac:dyDescent="0.3">
      <c r="J50" s="11" t="s">
        <v>35</v>
      </c>
      <c r="K50" s="9">
        <v>63187.149507086637</v>
      </c>
    </row>
    <row r="51" spans="10:11" x14ac:dyDescent="0.3">
      <c r="J51" s="11" t="s">
        <v>36</v>
      </c>
      <c r="K51" s="9">
        <v>72046.312738642169</v>
      </c>
    </row>
    <row r="52" spans="10:11" x14ac:dyDescent="0.3">
      <c r="J52" s="11" t="s">
        <v>37</v>
      </c>
      <c r="K52" s="9">
        <v>91838.515980298995</v>
      </c>
    </row>
    <row r="53" spans="10:11" x14ac:dyDescent="0.3">
      <c r="J53" s="11" t="s">
        <v>38</v>
      </c>
      <c r="K53" s="9">
        <v>137834.43090932514</v>
      </c>
    </row>
    <row r="54" spans="10:11" x14ac:dyDescent="0.3">
      <c r="J54" s="11" t="s">
        <v>39</v>
      </c>
      <c r="K54" s="9">
        <v>66274.553831839119</v>
      </c>
    </row>
    <row r="55" spans="10:11" x14ac:dyDescent="0.3">
      <c r="J55" s="11" t="s">
        <v>40</v>
      </c>
      <c r="K55" s="9">
        <v>172437.70928104492</v>
      </c>
    </row>
    <row r="56" spans="10:11" x14ac:dyDescent="0.3">
      <c r="J56" s="11" t="s">
        <v>41</v>
      </c>
      <c r="K56" s="9">
        <v>55216.879430109904</v>
      </c>
    </row>
    <row r="57" spans="10:11" x14ac:dyDescent="0.3">
      <c r="J57" s="11" t="s">
        <v>42</v>
      </c>
      <c r="K57" s="9">
        <v>112193.72442971708</v>
      </c>
    </row>
    <row r="58" spans="10:11" x14ac:dyDescent="0.3">
      <c r="J58" s="11" t="s">
        <v>43</v>
      </c>
      <c r="K58" s="9">
        <v>1269632.2394756023</v>
      </c>
    </row>
    <row r="78" spans="10:11" x14ac:dyDescent="0.3">
      <c r="J78" s="10" t="s">
        <v>45</v>
      </c>
      <c r="K78" t="s">
        <v>48</v>
      </c>
    </row>
    <row r="79" spans="10:11" x14ac:dyDescent="0.3">
      <c r="J79" s="11" t="s">
        <v>15</v>
      </c>
      <c r="K79" s="5">
        <v>0.351074272002868</v>
      </c>
    </row>
    <row r="80" spans="10:11" x14ac:dyDescent="0.3">
      <c r="J80" s="11" t="s">
        <v>11</v>
      </c>
      <c r="K80" s="5">
        <v>0.35180638505763212</v>
      </c>
    </row>
    <row r="81" spans="10:11" x14ac:dyDescent="0.3">
      <c r="J81" s="11" t="s">
        <v>43</v>
      </c>
      <c r="K81" s="5">
        <v>0.35137443835532134</v>
      </c>
    </row>
    <row r="88" spans="10:11" x14ac:dyDescent="0.3">
      <c r="J88" s="9"/>
    </row>
  </sheetData>
  <pageMargins left="0.511811024" right="0.511811024" top="0.78740157499999996" bottom="0.78740157499999996" header="0.31496062000000002" footer="0.31496062000000002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A0F7-D74C-491C-AB22-D0C61E1E7587}">
  <dimension ref="H7:AN106"/>
  <sheetViews>
    <sheetView showGridLines="0" tabSelected="1" zoomScale="35" zoomScaleNormal="55" workbookViewId="0">
      <selection activeCell="AX30" sqref="AX30"/>
    </sheetView>
  </sheetViews>
  <sheetFormatPr defaultRowHeight="14.4" x14ac:dyDescent="0.3"/>
  <cols>
    <col min="1" max="24" width="8.88671875" style="13"/>
    <col min="25" max="25" width="16.44140625" style="13" bestFit="1" customWidth="1"/>
    <col min="26" max="26" width="22.88671875" style="13" bestFit="1" customWidth="1"/>
    <col min="27" max="40" width="8.88671875" style="13"/>
    <col min="41" max="41" width="29.88671875" style="13" customWidth="1"/>
    <col min="42" max="16384" width="8.88671875" style="13"/>
  </cols>
  <sheetData>
    <row r="7" spans="16:20" x14ac:dyDescent="0.3">
      <c r="P7" s="16"/>
      <c r="Q7" s="16"/>
      <c r="R7" s="16"/>
      <c r="S7" s="16"/>
      <c r="T7" s="16"/>
    </row>
    <row r="8" spans="16:20" ht="14.4" customHeight="1" x14ac:dyDescent="0.3">
      <c r="P8" s="16"/>
      <c r="Q8" s="16"/>
      <c r="R8" s="16"/>
      <c r="S8" s="16"/>
      <c r="T8" s="16"/>
    </row>
    <row r="9" spans="16:20" ht="14.4" customHeight="1" x14ac:dyDescent="0.3">
      <c r="P9" s="16"/>
      <c r="Q9" s="16"/>
      <c r="R9" s="16"/>
      <c r="S9" s="16"/>
      <c r="T9" s="16"/>
    </row>
    <row r="10" spans="16:20" ht="14.4" customHeight="1" x14ac:dyDescent="0.3">
      <c r="P10" s="16"/>
      <c r="Q10" s="16"/>
      <c r="R10" s="16"/>
      <c r="S10" s="16"/>
      <c r="T10" s="16"/>
    </row>
    <row r="11" spans="16:20" ht="14.4" customHeight="1" x14ac:dyDescent="0.3">
      <c r="P11" s="16"/>
      <c r="Q11" s="16"/>
      <c r="R11" s="16"/>
      <c r="S11" s="16"/>
      <c r="T11" s="16"/>
    </row>
    <row r="12" spans="16:20" ht="14.4" customHeight="1" x14ac:dyDescent="0.3">
      <c r="P12" s="16"/>
      <c r="Q12" s="16"/>
      <c r="R12" s="16"/>
      <c r="S12" s="16"/>
      <c r="T12" s="16"/>
    </row>
    <row r="13" spans="16:20" ht="14.4" customHeight="1" x14ac:dyDescent="0.3">
      <c r="P13" s="16"/>
      <c r="Q13" s="16"/>
      <c r="R13" s="16"/>
      <c r="S13" s="16"/>
      <c r="T13" s="16"/>
    </row>
    <row r="14" spans="16:20" ht="14.4" customHeight="1" x14ac:dyDescent="0.3">
      <c r="Q14" s="16"/>
      <c r="R14" s="16"/>
      <c r="S14" s="16"/>
      <c r="T14" s="16"/>
    </row>
    <row r="38" spans="8:8" x14ac:dyDescent="0.3">
      <c r="H38" s="14"/>
    </row>
    <row r="49" spans="40:40" x14ac:dyDescent="0.3">
      <c r="AN49" s="14"/>
    </row>
    <row r="87" spans="17:32" x14ac:dyDescent="0.3"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</row>
    <row r="88" spans="17:32" x14ac:dyDescent="0.3"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</row>
    <row r="89" spans="17:32" x14ac:dyDescent="0.3"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</row>
    <row r="90" spans="17:32" x14ac:dyDescent="0.3"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</row>
    <row r="91" spans="17:32" x14ac:dyDescent="0.3"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</row>
    <row r="92" spans="17:32" x14ac:dyDescent="0.3"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</row>
    <row r="93" spans="17:32" x14ac:dyDescent="0.3"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</row>
    <row r="94" spans="17:32" x14ac:dyDescent="0.3"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</row>
    <row r="95" spans="17:32" x14ac:dyDescent="0.3"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</row>
    <row r="96" spans="17:32" x14ac:dyDescent="0.3"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</row>
    <row r="97" spans="17:32" x14ac:dyDescent="0.3"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</row>
    <row r="98" spans="17:32" x14ac:dyDescent="0.3"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</row>
    <row r="99" spans="17:32" x14ac:dyDescent="0.3"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</row>
    <row r="100" spans="17:32" x14ac:dyDescent="0.3"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</row>
    <row r="101" spans="17:32" x14ac:dyDescent="0.3"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</row>
    <row r="102" spans="17:32" x14ac:dyDescent="0.3"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</row>
    <row r="103" spans="17:32" x14ac:dyDescent="0.3"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</row>
    <row r="104" spans="17:32" x14ac:dyDescent="0.3"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</row>
    <row r="105" spans="17:32" x14ac:dyDescent="0.3"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</row>
    <row r="106" spans="17:32" x14ac:dyDescent="0.3"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</row>
  </sheetData>
  <mergeCells count="1">
    <mergeCell ref="Q87:AF10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Dinâmica1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LIMA DOS SANTOS</dc:creator>
  <cp:lastModifiedBy>GABRIEL LIMA DOS SANTOS</cp:lastModifiedBy>
  <dcterms:created xsi:type="dcterms:W3CDTF">2026-06-02T14:03:32Z</dcterms:created>
  <dcterms:modified xsi:type="dcterms:W3CDTF">2026-06-02T20:20:03Z</dcterms:modified>
</cp:coreProperties>
</file>